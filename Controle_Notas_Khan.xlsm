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rnanda Lopes\Desktop\"/>
    </mc:Choice>
  </mc:AlternateContent>
  <xr:revisionPtr revIDLastSave="0" documentId="13_ncr:1_{924DD96B-9A2E-49F9-B55C-C304277F922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rientações" sheetId="16" r:id="rId1"/>
    <sheet name="Auxiliar" sheetId="26" r:id="rId2"/>
    <sheet name="Nota Khan" sheetId="15" r:id="rId3"/>
    <sheet name="NE" sheetId="11" r:id="rId4"/>
    <sheet name="Turma" sheetId="5" r:id="rId5"/>
    <sheet name="Turma (2)" sheetId="18" r:id="rId6"/>
    <sheet name="Turma (3)" sheetId="19" r:id="rId7"/>
    <sheet name="Turma (4)" sheetId="20" r:id="rId8"/>
    <sheet name="Turma (5)" sheetId="21" r:id="rId9"/>
    <sheet name="Turma (6)" sheetId="22" r:id="rId10"/>
    <sheet name="Turma (7)" sheetId="23" r:id="rId11"/>
    <sheet name="Turma (8)" sheetId="24" r:id="rId12"/>
    <sheet name="Turma (9)" sheetId="28" r:id="rId13"/>
  </sheets>
  <functionGroups builtInGroupCount="19"/>
  <definedNames>
    <definedName name="NomeKhan" localSheetId="5">'Turma (2)'!$C$3:$C$47</definedName>
    <definedName name="NomeKhan" localSheetId="6">'Turma (3)'!$C$3:$C$47</definedName>
    <definedName name="NomeKhan" localSheetId="7">'Turma (4)'!$C$3:$C$47</definedName>
    <definedName name="NomeKhan" localSheetId="8">'Turma (5)'!$C$3:$C$47</definedName>
    <definedName name="NomeKhan" localSheetId="9">'Turma (6)'!$C$3:$C$47</definedName>
    <definedName name="NomeKhan" localSheetId="10">'Turma (7)'!$C$3:$C$47</definedName>
    <definedName name="NomeKhan" localSheetId="11">'Turma (8)'!$C$3:$C$47</definedName>
    <definedName name="NomeKhan" localSheetId="12">'Turma (9)'!$C$3:$C$47</definedName>
    <definedName name="NomeKhan">Turma!$C$3:$C$47</definedName>
    <definedName name="NomeSistema" localSheetId="5">'Turma (2)'!$B$3:$B$47</definedName>
    <definedName name="NomeSistema" localSheetId="6">'Turma (3)'!$B$3:$B$47</definedName>
    <definedName name="NomeSistema" localSheetId="7">'Turma (4)'!$B$3:$B$47</definedName>
    <definedName name="NomeSistema" localSheetId="8">'Turma (5)'!$B$3:$B$47</definedName>
    <definedName name="NomeSistema" localSheetId="9">'Turma (6)'!$B$3:$B$47</definedName>
    <definedName name="NomeSistema" localSheetId="10">'Turma (7)'!$B$3:$B$47</definedName>
    <definedName name="NomeSistema" localSheetId="11">'Turma (8)'!$B$3:$B$47</definedName>
    <definedName name="NomeSistema" localSheetId="12">'Turma (9)'!$B$3:$B$47</definedName>
    <definedName name="NomeSistema">Turma!$B$3:$B$47</definedName>
    <definedName name="Notas" localSheetId="5">'Turma (2)'!$D$3:$O$47</definedName>
    <definedName name="Notas" localSheetId="6">'Turma (3)'!$D$3:$O$47</definedName>
    <definedName name="Notas" localSheetId="7">'Turma (4)'!$D$3:$O$47</definedName>
    <definedName name="Notas" localSheetId="8">'Turma (5)'!$D$3:$O$47</definedName>
    <definedName name="Notas" localSheetId="9">'Turma (6)'!$D$3:$O$47</definedName>
    <definedName name="Notas" localSheetId="10">'Turma (7)'!$D$3:$O$47</definedName>
    <definedName name="Notas" localSheetId="11">'Turma (8)'!$D$3:$O$47</definedName>
    <definedName name="Notas" localSheetId="12">'Turma (9)'!$D$3:$O$47</definedName>
    <definedName name="Notas">Turma!$D$3:$O$47</definedName>
    <definedName name="Percents" localSheetId="5">'Turma (2)'!$D$51:$O$51</definedName>
    <definedName name="Percents" localSheetId="6">'Turma (3)'!$D$51:$O$51</definedName>
    <definedName name="Percents" localSheetId="7">'Turma (4)'!$D$51:$O$51</definedName>
    <definedName name="Percents" localSheetId="8">'Turma (5)'!$D$51:$O$51</definedName>
    <definedName name="Percents" localSheetId="9">'Turma (6)'!$D$51:$O$51</definedName>
    <definedName name="Percents" localSheetId="10">'Turma (7)'!$D$51:$O$51</definedName>
    <definedName name="Percents" localSheetId="11">'Turma (8)'!$D$51:$O$51</definedName>
    <definedName name="Percents" localSheetId="12">'Turma (9)'!$D$51:$O$51</definedName>
    <definedName name="Percents">Turma!$D$51:$O$51</definedName>
    <definedName name="RA" localSheetId="5">'Turma (2)'!$A$3:$A$47</definedName>
    <definedName name="RA" localSheetId="6">'Turma (3)'!$A$3:$A$47</definedName>
    <definedName name="RA" localSheetId="7">'Turma (4)'!$A$3:$A$47</definedName>
    <definedName name="RA" localSheetId="8">'Turma (5)'!$A$3:$A$47</definedName>
    <definedName name="RA" localSheetId="9">'Turma (6)'!$A$3:$A$47</definedName>
    <definedName name="RA" localSheetId="10">'Turma (7)'!$A$3:$A$47</definedName>
    <definedName name="RA" localSheetId="11">'Turma (8)'!$A$3:$A$47</definedName>
    <definedName name="RA" localSheetId="12">'Turma (9)'!$A$3:$A$47</definedName>
    <definedName name="RA">Turma!$A$3:$A$47</definedName>
    <definedName name="RegAluno" localSheetId="5">'Turma (2)'!$A$3:$A$47</definedName>
    <definedName name="RegAluno" localSheetId="6">'Turma (3)'!$A$3:$A$47</definedName>
    <definedName name="RegAluno" localSheetId="7">'Turma (4)'!$A$3:$A$47</definedName>
    <definedName name="RegAluno" localSheetId="8">'Turma (5)'!$A$3:$A$47</definedName>
    <definedName name="RegAluno" localSheetId="9">'Turma (6)'!$A$3:$A$47</definedName>
    <definedName name="RegAluno" localSheetId="10">'Turma (7)'!$A$3:$A$47</definedName>
    <definedName name="RegAluno" localSheetId="11">'Turma (8)'!$A$3:$A$47</definedName>
    <definedName name="RegAluno" localSheetId="12">'Turma (9)'!$A$3:$A$47</definedName>
    <definedName name="RegAluno">Turma!$A$3:$A$47</definedName>
    <definedName name="SomaNotas" localSheetId="5">'Turma (2)'!$P$3:$P$47</definedName>
    <definedName name="SomaNotas" localSheetId="6">'Turma (3)'!$P$3:$P$47</definedName>
    <definedName name="SomaNotas" localSheetId="7">'Turma (4)'!$P$3:$P$47</definedName>
    <definedName name="SomaNotas" localSheetId="8">'Turma (5)'!$P$3:$P$47</definedName>
    <definedName name="SomaNotas" localSheetId="9">'Turma (6)'!$P$3:$P$47</definedName>
    <definedName name="SomaNotas" localSheetId="10">'Turma (7)'!$P$3:$P$47</definedName>
    <definedName name="SomaNotas" localSheetId="11">'Turma (8)'!$P$3:$P$47</definedName>
    <definedName name="SomaNotas" localSheetId="12">'Turma (9)'!$P$3:$P$47</definedName>
    <definedName name="SomaNotas">Turma!$P$3:$P$47</definedName>
    <definedName name="Totais" localSheetId="5">'Turma (2)'!$C$50:$P$53</definedName>
    <definedName name="Totais" localSheetId="6">'Turma (3)'!$C$50:$P$53</definedName>
    <definedName name="Totais" localSheetId="7">'Turma (4)'!$C$50:$P$53</definedName>
    <definedName name="Totais" localSheetId="8">'Turma (5)'!$C$50:$P$53</definedName>
    <definedName name="Totais" localSheetId="9">'Turma (6)'!$C$50:$P$53</definedName>
    <definedName name="Totais" localSheetId="10">'Turma (7)'!$C$50:$P$53</definedName>
    <definedName name="Totais" localSheetId="11">'Turma (8)'!$C$50:$P$53</definedName>
    <definedName name="Totais" localSheetId="12">'Turma (9)'!$C$50:$P$53</definedName>
    <definedName name="Totais">Turma!$C$50:$P$53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2" i="28" l="1"/>
  <c r="N52" i="28"/>
  <c r="M52" i="28"/>
  <c r="L52" i="28"/>
  <c r="K52" i="28"/>
  <c r="J52" i="28"/>
  <c r="I52" i="28"/>
  <c r="H52" i="28"/>
  <c r="G52" i="28"/>
  <c r="F52" i="28"/>
  <c r="E52" i="28"/>
  <c r="D52" i="28"/>
  <c r="O50" i="28"/>
  <c r="O51" i="28" s="1"/>
  <c r="O53" i="28" s="1"/>
  <c r="N50" i="28"/>
  <c r="N51" i="28" s="1"/>
  <c r="N53" i="28" s="1"/>
  <c r="M50" i="28"/>
  <c r="M51" i="28" s="1"/>
  <c r="M53" i="28" s="1"/>
  <c r="L50" i="28"/>
  <c r="L51" i="28" s="1"/>
  <c r="L53" i="28" s="1"/>
  <c r="K50" i="28"/>
  <c r="K51" i="28" s="1"/>
  <c r="K53" i="28" s="1"/>
  <c r="J50" i="28"/>
  <c r="J51" i="28" s="1"/>
  <c r="J53" i="28" s="1"/>
  <c r="I50" i="28"/>
  <c r="I51" i="28" s="1"/>
  <c r="I53" i="28" s="1"/>
  <c r="H50" i="28"/>
  <c r="H51" i="28" s="1"/>
  <c r="H53" i="28" s="1"/>
  <c r="G50" i="28"/>
  <c r="G51" i="28" s="1"/>
  <c r="G53" i="28" s="1"/>
  <c r="F50" i="28"/>
  <c r="F51" i="28" s="1"/>
  <c r="F53" i="28" s="1"/>
  <c r="E50" i="28"/>
  <c r="E51" i="28" s="1"/>
  <c r="E53" i="28" s="1"/>
  <c r="D50" i="28"/>
  <c r="D51" i="28" s="1"/>
  <c r="D53" i="28" s="1"/>
  <c r="P53" i="28" s="1"/>
  <c r="P47" i="28"/>
  <c r="P46" i="28"/>
  <c r="P45" i="28"/>
  <c r="P44" i="28"/>
  <c r="P43" i="28"/>
  <c r="P42" i="28"/>
  <c r="P41" i="28"/>
  <c r="P40" i="28"/>
  <c r="P39" i="28"/>
  <c r="P38" i="28"/>
  <c r="P37" i="28"/>
  <c r="P36" i="28"/>
  <c r="P35" i="28"/>
  <c r="P34" i="28"/>
  <c r="P33" i="28"/>
  <c r="P32" i="28"/>
  <c r="P31" i="28"/>
  <c r="P30" i="28"/>
  <c r="P29" i="28"/>
  <c r="P28" i="28"/>
  <c r="P27" i="28"/>
  <c r="P26" i="28"/>
  <c r="P25" i="28"/>
  <c r="P24" i="28"/>
  <c r="P23" i="28"/>
  <c r="P22" i="28"/>
  <c r="P21" i="28"/>
  <c r="P20" i="28"/>
  <c r="P19" i="28"/>
  <c r="P18" i="28"/>
  <c r="P17" i="28"/>
  <c r="P16" i="28"/>
  <c r="P15" i="28"/>
  <c r="P14" i="28"/>
  <c r="P13" i="28"/>
  <c r="P12" i="28"/>
  <c r="P11" i="28"/>
  <c r="P10" i="28"/>
  <c r="P9" i="28"/>
  <c r="P8" i="28"/>
  <c r="P7" i="28"/>
  <c r="P6" i="28"/>
  <c r="P5" i="28"/>
  <c r="P4" i="28"/>
  <c r="P3" i="28"/>
  <c r="O51" i="5"/>
  <c r="N51" i="5"/>
  <c r="M51" i="5"/>
  <c r="L51" i="5"/>
  <c r="K51" i="5"/>
  <c r="J51" i="5"/>
  <c r="I51" i="5"/>
  <c r="H51" i="5"/>
  <c r="G51" i="5"/>
  <c r="F51" i="5"/>
  <c r="E51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O52" i="24"/>
  <c r="N52" i="24"/>
  <c r="M52" i="24"/>
  <c r="L52" i="24"/>
  <c r="K52" i="24"/>
  <c r="J52" i="24"/>
  <c r="I52" i="24"/>
  <c r="H52" i="24"/>
  <c r="G52" i="24"/>
  <c r="F52" i="24"/>
  <c r="E52" i="24"/>
  <c r="D52" i="24"/>
  <c r="O50" i="24"/>
  <c r="O51" i="24" s="1"/>
  <c r="O53" i="24" s="1"/>
  <c r="N50" i="24"/>
  <c r="N51" i="24" s="1"/>
  <c r="N53" i="24" s="1"/>
  <c r="M50" i="24"/>
  <c r="M51" i="24" s="1"/>
  <c r="M53" i="24" s="1"/>
  <c r="L50" i="24"/>
  <c r="L51" i="24" s="1"/>
  <c r="L53" i="24" s="1"/>
  <c r="K50" i="24"/>
  <c r="K51" i="24" s="1"/>
  <c r="K53" i="24" s="1"/>
  <c r="J50" i="24"/>
  <c r="J51" i="24" s="1"/>
  <c r="J53" i="24" s="1"/>
  <c r="I50" i="24"/>
  <c r="I51" i="24" s="1"/>
  <c r="I53" i="24" s="1"/>
  <c r="H50" i="24"/>
  <c r="H51" i="24" s="1"/>
  <c r="H53" i="24" s="1"/>
  <c r="G50" i="24"/>
  <c r="G51" i="24" s="1"/>
  <c r="G53" i="24" s="1"/>
  <c r="F50" i="24"/>
  <c r="F51" i="24" s="1"/>
  <c r="F53" i="24" s="1"/>
  <c r="E50" i="24"/>
  <c r="E51" i="24" s="1"/>
  <c r="E53" i="24" s="1"/>
  <c r="D50" i="24"/>
  <c r="D51" i="24" s="1"/>
  <c r="D53" i="24" s="1"/>
  <c r="P53" i="24" s="1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P15" i="24"/>
  <c r="P14" i="24"/>
  <c r="P13" i="24"/>
  <c r="P12" i="24"/>
  <c r="P11" i="24"/>
  <c r="P10" i="24"/>
  <c r="P9" i="24"/>
  <c r="P8" i="24"/>
  <c r="P7" i="24"/>
  <c r="P6" i="24"/>
  <c r="P5" i="24"/>
  <c r="P4" i="24"/>
  <c r="P3" i="24"/>
  <c r="O52" i="23"/>
  <c r="N52" i="23"/>
  <c r="M52" i="23"/>
  <c r="L52" i="23"/>
  <c r="K52" i="23"/>
  <c r="J52" i="23"/>
  <c r="I52" i="23"/>
  <c r="H52" i="23"/>
  <c r="G52" i="23"/>
  <c r="F52" i="23"/>
  <c r="E52" i="23"/>
  <c r="D52" i="23"/>
  <c r="O50" i="23"/>
  <c r="O51" i="23" s="1"/>
  <c r="O53" i="23" s="1"/>
  <c r="N50" i="23"/>
  <c r="N51" i="23" s="1"/>
  <c r="N53" i="23" s="1"/>
  <c r="M50" i="23"/>
  <c r="M51" i="23" s="1"/>
  <c r="M53" i="23" s="1"/>
  <c r="L50" i="23"/>
  <c r="L51" i="23" s="1"/>
  <c r="L53" i="23" s="1"/>
  <c r="K50" i="23"/>
  <c r="K51" i="23" s="1"/>
  <c r="K53" i="23" s="1"/>
  <c r="J50" i="23"/>
  <c r="J51" i="23" s="1"/>
  <c r="J53" i="23" s="1"/>
  <c r="I50" i="23"/>
  <c r="I51" i="23" s="1"/>
  <c r="I53" i="23" s="1"/>
  <c r="H50" i="23"/>
  <c r="H51" i="23" s="1"/>
  <c r="H53" i="23" s="1"/>
  <c r="G50" i="23"/>
  <c r="G51" i="23" s="1"/>
  <c r="G53" i="23" s="1"/>
  <c r="F50" i="23"/>
  <c r="F51" i="23" s="1"/>
  <c r="F53" i="23" s="1"/>
  <c r="E50" i="23"/>
  <c r="E51" i="23" s="1"/>
  <c r="E53" i="23" s="1"/>
  <c r="D50" i="23"/>
  <c r="D51" i="23" s="1"/>
  <c r="D53" i="23" s="1"/>
  <c r="P53" i="23" s="1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3" i="23"/>
  <c r="P12" i="23"/>
  <c r="P11" i="23"/>
  <c r="P10" i="23"/>
  <c r="P9" i="23"/>
  <c r="P8" i="23"/>
  <c r="P7" i="23"/>
  <c r="P6" i="23"/>
  <c r="P5" i="23"/>
  <c r="P4" i="23"/>
  <c r="P3" i="23"/>
  <c r="O52" i="22"/>
  <c r="N52" i="22"/>
  <c r="M52" i="22"/>
  <c r="L52" i="22"/>
  <c r="K52" i="22"/>
  <c r="J52" i="22"/>
  <c r="I52" i="22"/>
  <c r="H52" i="22"/>
  <c r="G52" i="22"/>
  <c r="F52" i="22"/>
  <c r="E52" i="22"/>
  <c r="D52" i="22"/>
  <c r="O50" i="22"/>
  <c r="O51" i="22" s="1"/>
  <c r="O53" i="22" s="1"/>
  <c r="N50" i="22"/>
  <c r="N51" i="22" s="1"/>
  <c r="N53" i="22" s="1"/>
  <c r="M50" i="22"/>
  <c r="M51" i="22" s="1"/>
  <c r="M53" i="22" s="1"/>
  <c r="L50" i="22"/>
  <c r="L51" i="22" s="1"/>
  <c r="L53" i="22" s="1"/>
  <c r="K50" i="22"/>
  <c r="K51" i="22" s="1"/>
  <c r="K53" i="22" s="1"/>
  <c r="J50" i="22"/>
  <c r="J51" i="22" s="1"/>
  <c r="J53" i="22" s="1"/>
  <c r="I50" i="22"/>
  <c r="I51" i="22" s="1"/>
  <c r="I53" i="22" s="1"/>
  <c r="H50" i="22"/>
  <c r="H51" i="22" s="1"/>
  <c r="H53" i="22" s="1"/>
  <c r="G50" i="22"/>
  <c r="G51" i="22" s="1"/>
  <c r="G53" i="22" s="1"/>
  <c r="F50" i="22"/>
  <c r="F51" i="22" s="1"/>
  <c r="F53" i="22" s="1"/>
  <c r="E50" i="22"/>
  <c r="E51" i="22" s="1"/>
  <c r="E53" i="22" s="1"/>
  <c r="D50" i="22"/>
  <c r="D51" i="22" s="1"/>
  <c r="D53" i="22" s="1"/>
  <c r="P53" i="22" s="1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31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P9" i="22"/>
  <c r="P8" i="22"/>
  <c r="P7" i="22"/>
  <c r="P6" i="22"/>
  <c r="P5" i="22"/>
  <c r="P4" i="22"/>
  <c r="P3" i="22"/>
  <c r="O52" i="21"/>
  <c r="N52" i="21"/>
  <c r="M52" i="21"/>
  <c r="L52" i="21"/>
  <c r="K52" i="21"/>
  <c r="J52" i="21"/>
  <c r="I52" i="21"/>
  <c r="H52" i="21"/>
  <c r="G52" i="21"/>
  <c r="F52" i="21"/>
  <c r="E52" i="21"/>
  <c r="D52" i="21"/>
  <c r="O50" i="21"/>
  <c r="O51" i="21" s="1"/>
  <c r="O53" i="21" s="1"/>
  <c r="N50" i="21"/>
  <c r="N51" i="21" s="1"/>
  <c r="N53" i="21" s="1"/>
  <c r="M50" i="21"/>
  <c r="M51" i="21" s="1"/>
  <c r="M53" i="21" s="1"/>
  <c r="L50" i="21"/>
  <c r="L51" i="21" s="1"/>
  <c r="L53" i="21" s="1"/>
  <c r="K50" i="21"/>
  <c r="K51" i="21" s="1"/>
  <c r="K53" i="21" s="1"/>
  <c r="J50" i="21"/>
  <c r="J51" i="21" s="1"/>
  <c r="J53" i="21" s="1"/>
  <c r="I50" i="21"/>
  <c r="I51" i="21" s="1"/>
  <c r="I53" i="21" s="1"/>
  <c r="H50" i="21"/>
  <c r="H51" i="21" s="1"/>
  <c r="H53" i="21" s="1"/>
  <c r="G50" i="21"/>
  <c r="G51" i="21" s="1"/>
  <c r="G53" i="21" s="1"/>
  <c r="F50" i="21"/>
  <c r="F51" i="21" s="1"/>
  <c r="F53" i="21" s="1"/>
  <c r="E50" i="21"/>
  <c r="E51" i="21" s="1"/>
  <c r="E53" i="21" s="1"/>
  <c r="D50" i="21"/>
  <c r="D51" i="21" s="1"/>
  <c r="D53" i="21" s="1"/>
  <c r="P53" i="21" s="1"/>
  <c r="P47" i="21"/>
  <c r="P46" i="21"/>
  <c r="P45" i="21"/>
  <c r="P44" i="21"/>
  <c r="P43" i="21"/>
  <c r="P42" i="21"/>
  <c r="P41" i="21"/>
  <c r="P40" i="21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P6" i="21"/>
  <c r="P5" i="21"/>
  <c r="P4" i="21"/>
  <c r="P3" i="21"/>
  <c r="O52" i="20"/>
  <c r="N52" i="20"/>
  <c r="M52" i="20"/>
  <c r="L52" i="20"/>
  <c r="K52" i="20"/>
  <c r="J52" i="20"/>
  <c r="I52" i="20"/>
  <c r="H52" i="20"/>
  <c r="G52" i="20"/>
  <c r="F52" i="20"/>
  <c r="E52" i="20"/>
  <c r="D52" i="20"/>
  <c r="O50" i="20"/>
  <c r="O51" i="20" s="1"/>
  <c r="O53" i="20" s="1"/>
  <c r="N50" i="20"/>
  <c r="N51" i="20" s="1"/>
  <c r="N53" i="20" s="1"/>
  <c r="M50" i="20"/>
  <c r="M51" i="20" s="1"/>
  <c r="M53" i="20" s="1"/>
  <c r="L50" i="20"/>
  <c r="L51" i="20" s="1"/>
  <c r="L53" i="20" s="1"/>
  <c r="K50" i="20"/>
  <c r="K51" i="20" s="1"/>
  <c r="K53" i="20" s="1"/>
  <c r="J50" i="20"/>
  <c r="J51" i="20" s="1"/>
  <c r="J53" i="20" s="1"/>
  <c r="I50" i="20"/>
  <c r="I51" i="20" s="1"/>
  <c r="I53" i="20" s="1"/>
  <c r="H50" i="20"/>
  <c r="H51" i="20" s="1"/>
  <c r="H53" i="20" s="1"/>
  <c r="G50" i="20"/>
  <c r="G51" i="20" s="1"/>
  <c r="G53" i="20" s="1"/>
  <c r="F50" i="20"/>
  <c r="F51" i="20" s="1"/>
  <c r="F53" i="20" s="1"/>
  <c r="E50" i="20"/>
  <c r="E51" i="20" s="1"/>
  <c r="E53" i="20" s="1"/>
  <c r="D50" i="20"/>
  <c r="D51" i="20" s="1"/>
  <c r="D53" i="20" s="1"/>
  <c r="P53" i="20" s="1"/>
  <c r="P47" i="20"/>
  <c r="P46" i="20"/>
  <c r="P45" i="20"/>
  <c r="P44" i="20"/>
  <c r="P43" i="20"/>
  <c r="P42" i="20"/>
  <c r="P41" i="20"/>
  <c r="P40" i="20"/>
  <c r="P39" i="20"/>
  <c r="P38" i="20"/>
  <c r="P37" i="20"/>
  <c r="P36" i="20"/>
  <c r="P35" i="20"/>
  <c r="P34" i="20"/>
  <c r="P33" i="20"/>
  <c r="P32" i="20"/>
  <c r="P31" i="20"/>
  <c r="P30" i="20"/>
  <c r="P29" i="20"/>
  <c r="P28" i="20"/>
  <c r="P27" i="20"/>
  <c r="P26" i="20"/>
  <c r="P25" i="20"/>
  <c r="P24" i="20"/>
  <c r="P23" i="20"/>
  <c r="P22" i="20"/>
  <c r="P21" i="20"/>
  <c r="P20" i="20"/>
  <c r="P19" i="20"/>
  <c r="P18" i="20"/>
  <c r="P17" i="20"/>
  <c r="P16" i="20"/>
  <c r="P15" i="20"/>
  <c r="P14" i="20"/>
  <c r="P13" i="20"/>
  <c r="P12" i="20"/>
  <c r="P11" i="20"/>
  <c r="P10" i="20"/>
  <c r="P9" i="20"/>
  <c r="P8" i="20"/>
  <c r="P7" i="20"/>
  <c r="P6" i="20"/>
  <c r="P5" i="20"/>
  <c r="P4" i="20"/>
  <c r="P3" i="20"/>
  <c r="O52" i="19"/>
  <c r="N52" i="19"/>
  <c r="M52" i="19"/>
  <c r="L52" i="19"/>
  <c r="K52" i="19"/>
  <c r="J52" i="19"/>
  <c r="I52" i="19"/>
  <c r="H52" i="19"/>
  <c r="G52" i="19"/>
  <c r="F52" i="19"/>
  <c r="E52" i="19"/>
  <c r="D52" i="19"/>
  <c r="O50" i="19"/>
  <c r="O51" i="19" s="1"/>
  <c r="O53" i="19" s="1"/>
  <c r="N50" i="19"/>
  <c r="N51" i="19" s="1"/>
  <c r="N53" i="19" s="1"/>
  <c r="M50" i="19"/>
  <c r="M51" i="19" s="1"/>
  <c r="M53" i="19" s="1"/>
  <c r="L50" i="19"/>
  <c r="L51" i="19" s="1"/>
  <c r="L53" i="19" s="1"/>
  <c r="K50" i="19"/>
  <c r="K51" i="19" s="1"/>
  <c r="K53" i="19" s="1"/>
  <c r="J50" i="19"/>
  <c r="J51" i="19" s="1"/>
  <c r="J53" i="19" s="1"/>
  <c r="I50" i="19"/>
  <c r="I51" i="19" s="1"/>
  <c r="I53" i="19" s="1"/>
  <c r="H50" i="19"/>
  <c r="H51" i="19" s="1"/>
  <c r="H53" i="19" s="1"/>
  <c r="G50" i="19"/>
  <c r="G51" i="19" s="1"/>
  <c r="G53" i="19" s="1"/>
  <c r="F50" i="19"/>
  <c r="F51" i="19" s="1"/>
  <c r="F53" i="19" s="1"/>
  <c r="E50" i="19"/>
  <c r="E51" i="19" s="1"/>
  <c r="E53" i="19" s="1"/>
  <c r="D50" i="19"/>
  <c r="D51" i="19" s="1"/>
  <c r="D53" i="19" s="1"/>
  <c r="P53" i="19" s="1"/>
  <c r="P47" i="19"/>
  <c r="P46" i="19"/>
  <c r="P45" i="19"/>
  <c r="P44" i="19"/>
  <c r="P43" i="19"/>
  <c r="P42" i="19"/>
  <c r="P41" i="19"/>
  <c r="P40" i="19"/>
  <c r="P39" i="19"/>
  <c r="P38" i="19"/>
  <c r="P37" i="19"/>
  <c r="P36" i="19"/>
  <c r="P35" i="19"/>
  <c r="P34" i="19"/>
  <c r="P33" i="19"/>
  <c r="P32" i="19"/>
  <c r="P31" i="19"/>
  <c r="P30" i="19"/>
  <c r="P29" i="19"/>
  <c r="P28" i="19"/>
  <c r="P27" i="19"/>
  <c r="P26" i="19"/>
  <c r="P25" i="19"/>
  <c r="P24" i="19"/>
  <c r="P23" i="19"/>
  <c r="P22" i="19"/>
  <c r="P21" i="19"/>
  <c r="P20" i="19"/>
  <c r="P19" i="19"/>
  <c r="P18" i="19"/>
  <c r="P17" i="19"/>
  <c r="P16" i="19"/>
  <c r="P15" i="19"/>
  <c r="P14" i="19"/>
  <c r="P13" i="19"/>
  <c r="P12" i="19"/>
  <c r="P11" i="19"/>
  <c r="P10" i="19"/>
  <c r="P9" i="19"/>
  <c r="P8" i="19"/>
  <c r="P7" i="19"/>
  <c r="P6" i="19"/>
  <c r="P5" i="19"/>
  <c r="P4" i="19"/>
  <c r="P3" i="19"/>
  <c r="O52" i="18"/>
  <c r="N52" i="18"/>
  <c r="M52" i="18"/>
  <c r="L52" i="18"/>
  <c r="K52" i="18"/>
  <c r="J52" i="18"/>
  <c r="I52" i="18"/>
  <c r="H52" i="18"/>
  <c r="G52" i="18"/>
  <c r="F52" i="18"/>
  <c r="E52" i="18"/>
  <c r="D52" i="18"/>
  <c r="O50" i="18"/>
  <c r="O51" i="18" s="1"/>
  <c r="O53" i="18" s="1"/>
  <c r="N50" i="18"/>
  <c r="N51" i="18" s="1"/>
  <c r="N53" i="18" s="1"/>
  <c r="M50" i="18"/>
  <c r="M51" i="18" s="1"/>
  <c r="M53" i="18" s="1"/>
  <c r="L50" i="18"/>
  <c r="L51" i="18" s="1"/>
  <c r="L53" i="18" s="1"/>
  <c r="K50" i="18"/>
  <c r="K51" i="18" s="1"/>
  <c r="K53" i="18" s="1"/>
  <c r="J50" i="18"/>
  <c r="J51" i="18" s="1"/>
  <c r="J53" i="18" s="1"/>
  <c r="I50" i="18"/>
  <c r="I51" i="18" s="1"/>
  <c r="I53" i="18" s="1"/>
  <c r="H50" i="18"/>
  <c r="H51" i="18" s="1"/>
  <c r="H53" i="18" s="1"/>
  <c r="G50" i="18"/>
  <c r="G51" i="18" s="1"/>
  <c r="G53" i="18" s="1"/>
  <c r="F50" i="18"/>
  <c r="F51" i="18" s="1"/>
  <c r="F53" i="18" s="1"/>
  <c r="E50" i="18"/>
  <c r="E51" i="18" s="1"/>
  <c r="E53" i="18" s="1"/>
  <c r="D50" i="18"/>
  <c r="D51" i="18" s="1"/>
  <c r="D53" i="18" s="1"/>
  <c r="P4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P4" i="18"/>
  <c r="P3" i="18"/>
  <c r="P53" i="18" l="1"/>
  <c r="G50" i="5"/>
  <c r="E50" i="5"/>
  <c r="F50" i="5"/>
  <c r="H50" i="5"/>
  <c r="I50" i="5"/>
  <c r="J50" i="5"/>
  <c r="K50" i="5"/>
  <c r="L50" i="5"/>
  <c r="M50" i="5"/>
  <c r="N50" i="5"/>
  <c r="O50" i="5"/>
  <c r="D50" i="5"/>
  <c r="D51" i="5" s="1"/>
  <c r="J52" i="5"/>
  <c r="H52" i="5"/>
  <c r="I52" i="5"/>
  <c r="K52" i="5"/>
  <c r="N52" i="5"/>
  <c r="J53" i="5" l="1"/>
  <c r="K53" i="5"/>
  <c r="I53" i="5"/>
  <c r="H53" i="5"/>
  <c r="D52" i="5"/>
  <c r="D53" i="5" s="1"/>
  <c r="E52" i="5"/>
  <c r="E53" i="5" s="1"/>
  <c r="F52" i="5"/>
  <c r="F53" i="5" s="1"/>
  <c r="G52" i="5"/>
  <c r="G53" i="5" s="1"/>
  <c r="L52" i="5"/>
  <c r="L53" i="5" s="1"/>
  <c r="M52" i="5"/>
  <c r="M53" i="5" s="1"/>
  <c r="O52" i="5"/>
  <c r="O53" i="5" s="1"/>
  <c r="N53" i="5"/>
  <c r="P53" i="5" l="1"/>
</calcChain>
</file>

<file path=xl/sharedStrings.xml><?xml version="1.0" encoding="utf-8"?>
<sst xmlns="http://schemas.openxmlformats.org/spreadsheetml/2006/main" count="207" uniqueCount="118">
  <si>
    <t>NOTA</t>
  </si>
  <si>
    <t>Rendimento médio da turma</t>
  </si>
  <si>
    <t>Score da turma</t>
  </si>
  <si>
    <t>Lista de não encontrados</t>
  </si>
  <si>
    <t>NOME NO SISTEMA</t>
  </si>
  <si>
    <t>RA</t>
  </si>
  <si>
    <t>Orientações para uso da planilha:</t>
  </si>
  <si>
    <t>NOME NA KHAN</t>
  </si>
  <si>
    <t>Valor atribuído ao Khanacademy:</t>
  </si>
  <si>
    <t>FINAL SCORE</t>
  </si>
  <si>
    <t xml:space="preserve">        São Paulo, 2 de agosto de 2022</t>
  </si>
  <si>
    <t xml:space="preserve">        Esta ferramenta é fruto de muitas horas de dedicação e estudo. Ela surgiu da união de duas mentes apaixonadas: uma por lecionar, outra por programar.</t>
  </si>
  <si>
    <t xml:space="preserve">        Com ela, pretendemos facilitar o registro de notas das atividades atribuídas aos alunos na plataforma khanacademy.org.</t>
  </si>
  <si>
    <t xml:space="preserve">         E para garantir que você, docente, usufrua ao máximo suas funcionalidades, preparamos orientações detalhadas. Esperamos que estejam claras e que sejam muito uteis.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</si>
  <si>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Contato: proffernandaalopes@gmail.com</t>
  </si>
  <si>
    <t>Quantidade de alunos que fez a recomendação</t>
  </si>
  <si>
    <t>% da turma que fez a recomendação</t>
  </si>
  <si>
    <t>Chegou aluno na turma durante o bimestre? Veja como proceder</t>
  </si>
  <si>
    <t>Para inserir alunos durante o bimestre, digite "ctrl + shift + a".  As fórmulas se alterarão e a nota do aluno será calculada sem as recomendações que já haviam sido lançadas. Por isso, ao receber um novo aluno, certifique-se de ter lançado todas as recomendações anteriores à sua chegada.</t>
  </si>
  <si>
    <t>Para remover um aluno, digite "ctrl + shift + a" e dê um duplo clique na janela que se abriu. O   aluno   será   excluído,   mas    o    score   da   turma   nas  semanas  anterires  (utilizados  na competição entre turmas) não será alterado.</t>
  </si>
  <si>
    <t>Quer começar a lançar as notas de um novo bimestre?</t>
  </si>
  <si>
    <t xml:space="preserve">Importantíssimo! </t>
  </si>
  <si>
    <t>Não escrever nos campos onde há fórmulas digitadas;</t>
  </si>
  <si>
    <t>Não excluir nem adicionar linhas e colunas manualmente;</t>
  </si>
  <si>
    <t>Isabella de Moraes</t>
  </si>
  <si>
    <t>Maria Luiza</t>
  </si>
  <si>
    <t xml:space="preserve">Turma: </t>
  </si>
  <si>
    <t>Ao receber esta ferramenta, é possível que uma mensagem apareça.</t>
  </si>
  <si>
    <t xml:space="preserve">Se a mensagem abaixo aparecer, não se preocupe. </t>
  </si>
  <si>
    <t>Salve o arquivo com outro nome, feche-o e abra novamente.</t>
  </si>
  <si>
    <r>
      <t xml:space="preserve">Clique em </t>
    </r>
    <r>
      <rPr>
        <b/>
        <sz val="11"/>
        <color theme="1"/>
        <rFont val="Calibri"/>
        <family val="2"/>
        <scheme val="minor"/>
      </rPr>
      <t>"Habilitar Edição"</t>
    </r>
    <r>
      <rPr>
        <sz val="11"/>
        <color theme="1"/>
        <rFont val="Calibri"/>
        <family val="2"/>
        <scheme val="minor"/>
      </rPr>
      <t>.</t>
    </r>
  </si>
  <si>
    <t>O aluno saiu da escola durante o bimestre? Veja o que fazer</t>
  </si>
  <si>
    <t>Vytoria Bispo Santana</t>
  </si>
  <si>
    <t>Alice Santana</t>
  </si>
  <si>
    <t>Ana Julia</t>
  </si>
  <si>
    <t>Carolina</t>
  </si>
  <si>
    <t>Eduarda</t>
  </si>
  <si>
    <t>Eduardo Rosa</t>
  </si>
  <si>
    <t>Emerson</t>
  </si>
  <si>
    <t>Franciny</t>
  </si>
  <si>
    <t>Gabriella</t>
  </si>
  <si>
    <t>Geovanna Vitória</t>
  </si>
  <si>
    <t>Giovana Castillo</t>
  </si>
  <si>
    <t>Giovanna Lopes</t>
  </si>
  <si>
    <t>Guilherme Mendonça</t>
  </si>
  <si>
    <t>guilherme743</t>
  </si>
  <si>
    <t>Gustavo Medeiros</t>
  </si>
  <si>
    <t>Kauan</t>
  </si>
  <si>
    <t>Laura da Silva</t>
  </si>
  <si>
    <t>Laura Fernandes</t>
  </si>
  <si>
    <t>Letícia</t>
  </si>
  <si>
    <t>Luigi</t>
  </si>
  <si>
    <t>Maisa</t>
  </si>
  <si>
    <t>Marco de Oliveira</t>
  </si>
  <si>
    <t>Maria Fernanda</t>
  </si>
  <si>
    <t>Mariana Peixoto</t>
  </si>
  <si>
    <t>Matheus Arruda</t>
  </si>
  <si>
    <t>Matheus Rodrigues</t>
  </si>
  <si>
    <t>Pedro Moura</t>
  </si>
  <si>
    <t>Pedro Ramos</t>
  </si>
  <si>
    <t>Pedro Yuki</t>
  </si>
  <si>
    <t>Rafael Duarte</t>
  </si>
  <si>
    <t>RAFAEL LOPES</t>
  </si>
  <si>
    <t>Rafaella</t>
  </si>
  <si>
    <t>Renato</t>
  </si>
  <si>
    <t>Sarah</t>
  </si>
  <si>
    <t>Sophia Dias</t>
  </si>
  <si>
    <t>Thiago</t>
  </si>
  <si>
    <t>Victor</t>
  </si>
  <si>
    <t>Vinícius Moreira</t>
  </si>
  <si>
    <t>Vytoria Santana</t>
  </si>
  <si>
    <t>No início do próximo bimestre, salve o arquivo com outro nome e, em cada turma, use o atalho "ctrl + shift + r". Ele resetará as notas e fórmulas, deixando o ambiente pronto para começar tudo de novo ;)</t>
  </si>
  <si>
    <t>01 - Na aba "Nota khan", defina a pontuação que deseja atribuir ao Khanacademy neste bimestre. Essa nota será utilizada em todas as turmas neste arquivo.</t>
  </si>
  <si>
    <t>Ao lançar uma coluna de notas, preencha o campo na linha 1 (se ele não for preenchido, a média dos alunos não será calculada corretamente).</t>
  </si>
  <si>
    <t>Daniel Henrique de Souza Oliveira</t>
  </si>
  <si>
    <t>Eduardo Morato Alcântara</t>
  </si>
  <si>
    <t>Eduardo Pereira Cabral de Oliveira</t>
  </si>
  <si>
    <t>Enrico Felix de Oliveira</t>
  </si>
  <si>
    <t>Gabriel Cezar Feliciano</t>
  </si>
  <si>
    <t>Gabriel Ferreira Dias</t>
  </si>
  <si>
    <t>Gabriela Ramalho Domingues Mandu</t>
  </si>
  <si>
    <t>Gabrielle de Moraes Saraiva</t>
  </si>
  <si>
    <t>Giovana Maria Santiago</t>
  </si>
  <si>
    <t>Hianna Rosa de Carvalho</t>
  </si>
  <si>
    <t>Isadora Soares Lopes</t>
  </si>
  <si>
    <t>João Pedro Fernandes Rodrigues</t>
  </si>
  <si>
    <t>Larissa Schmidt Santos</t>
  </si>
  <si>
    <t>Laura dos Santos Aragão Lima</t>
  </si>
  <si>
    <t>Laura Tavares de Almeida</t>
  </si>
  <si>
    <t>Lívia Lopes Bispo</t>
  </si>
  <si>
    <t>Lucas Sugawara Ohnishi</t>
  </si>
  <si>
    <t>Manuella Rodrigues de Oliveira</t>
  </si>
  <si>
    <t>Maria Clara Menezes Tavares</t>
  </si>
  <si>
    <t>Maria Flor Santana Martinez</t>
  </si>
  <si>
    <t>Matheus de Souza Correa</t>
  </si>
  <si>
    <t>Nathan de Moraes Saraiva</t>
  </si>
  <si>
    <t>Nicolly Villarroel Camilo</t>
  </si>
  <si>
    <t>Paula Batista de Santana</t>
  </si>
  <si>
    <t>Pedro Oliveira de Lima</t>
  </si>
  <si>
    <t>Phelipe Henrique Carvalho de Sousa</t>
  </si>
  <si>
    <t>Rafaela Hengles da Silva</t>
  </si>
  <si>
    <t>Rodolpho Rodrigues Brizuela</t>
  </si>
  <si>
    <t>Sofia Rigueiro de Siqueira</t>
  </si>
  <si>
    <t>Vítor Hugo Moreira Amâncio</t>
  </si>
  <si>
    <t>02 - Copie o RA e a listagem de alunos na chamada do sistema.</t>
  </si>
  <si>
    <t>03 - Cole no bloco de notas.</t>
  </si>
  <si>
    <t>04 - Copie o texto e cole na célula A1 da planilha "Auxiliar".</t>
  </si>
  <si>
    <t>06 - Na plataforma khanacademy, acesse a turma, vá até a aba "Notas" e copie a listagem de alunos.</t>
  </si>
  <si>
    <t xml:space="preserve">07 - Cole a lista de alunos na coluna C (Será criado um hiperlink automaticamente. Ao clicar no nome do aluno, você será direcionado à sua página de tarefas no khanacademy. Quando houver necessidade de enviar um feedback das tarefas realizadas pelo aluno, o atalho agilizará a verificação). </t>
  </si>
  <si>
    <t>08 - Compare as colunas B e C. Caso haja divergência, altere a coluna C para adequar-se à coluna B (isso facilitará a hora de lançar as notas no fim do bimestre).</t>
  </si>
  <si>
    <t>09 - Digite "ctrl + shift + r" e clique em "sim" para ajustar as fórmulas.</t>
  </si>
  <si>
    <r>
      <t xml:space="preserve">10 - Para começar a preencher as notas, coloque o </t>
    </r>
    <r>
      <rPr>
        <b/>
        <sz val="11"/>
        <color theme="1"/>
        <rFont val="Calibri"/>
        <family val="2"/>
        <scheme val="minor"/>
      </rPr>
      <t>nome da recomendação</t>
    </r>
    <r>
      <rPr>
        <sz val="11"/>
        <color theme="1"/>
        <rFont val="Calibri"/>
        <family val="2"/>
        <scheme val="minor"/>
      </rPr>
      <t xml:space="preserve"> na célula D1 e a </t>
    </r>
    <r>
      <rPr>
        <b/>
        <sz val="11"/>
        <color theme="1"/>
        <rFont val="Calibri"/>
        <family val="2"/>
        <scheme val="minor"/>
      </rPr>
      <t>data final</t>
    </r>
    <r>
      <rPr>
        <sz val="11"/>
        <color theme="1"/>
        <rFont val="Calibri"/>
        <family val="2"/>
        <scheme val="minor"/>
      </rPr>
      <t xml:space="preserve"> na célula D2.</t>
    </r>
  </si>
  <si>
    <t>11 - Na plataforma khanacademy, clique na aba recomendações, em seguida gerenciar.</t>
  </si>
  <si>
    <t>12 - Clique no resultado da recomendação desejada (conforme o exemplo circulado abaixo).</t>
  </si>
  <si>
    <t>13 - Clique em "Baixar arquivo CSV"</t>
  </si>
  <si>
    <t>14 - De volta à planilha, digite "ctrl + shift + f" e escolha a coluna onde quer lançar os resultados.</t>
  </si>
  <si>
    <t>15 - Selecione o arquivo baixado e veja a mágica acontecer ;)</t>
  </si>
  <si>
    <t>05 - Copie apenas as colunas de RA e Nome da planilha "Auxiliar". Cole nas colunas A e B da planilha com a turma desejada. (Caso não queira realizar esse procedimento, solicite um arquivo com RA e Nomes dos alunos ao SOE ou SOP).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</si>
</sst>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dd/mm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sz val="11"/>
      <color rgb="FF333333"/>
      <name val="Arial"/>
      <family val="2"/>
    </font>
    <font>
      <sz val="11"/>
      <color rgb="FFFFFF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Arial"/>
      <family val="2"/>
    </font>
    <font>
      <b/>
      <sz val="11"/>
      <color rgb="FF7030A0"/>
      <name val="Arial"/>
      <family val="2"/>
    </font>
    <font>
      <sz val="15"/>
      <color theme="1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333333"/>
      <name val="Poppins"/>
    </font>
  </fonts>
  <fills count="14">
    <fill>
      <patternFill patternType="none"/>
    </fill>
    <fill>
      <patternFill patternType="gray125"/>
    </fill>
    <fill>
      <patternFill patternType="solid">
        <fgColor theme="3" tint="0.14999847407452621"/>
        <bgColor indexed="64"/>
      </patternFill>
    </fill>
    <fill>
      <patternFill patternType="solid">
        <fgColor theme="2" tint="-4.9989318521683403E-2"/>
        <bgColor indexed="64"/>
      </patternFill>
    </fill>
    <fill>
      <gradientFill degree="90">
        <stop position="0">
          <color theme="0"/>
        </stop>
        <stop position="1">
          <color theme="2" tint="-5.0965910824915313E-2"/>
        </stop>
      </gradientFill>
    </fill>
    <fill>
      <patternFill patternType="solid">
        <fgColor rgb="FFDCD2FA"/>
        <bgColor indexed="64"/>
      </patternFill>
    </fill>
    <fill>
      <patternFill patternType="solid">
        <fgColor rgb="FF7030A0"/>
        <bgColor rgb="FFFFD965"/>
      </patternFill>
    </fill>
    <fill>
      <patternFill patternType="solid">
        <fgColor rgb="FF7030A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B9F5BF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F6C5"/>
        <bgColor indexed="64"/>
      </patternFill>
    </fill>
    <fill>
      <patternFill patternType="solid">
        <fgColor theme="0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theme="1"/>
      </right>
      <top style="double">
        <color theme="1"/>
      </top>
      <bottom/>
      <diagonal/>
    </border>
    <border>
      <left/>
      <right style="double">
        <color theme="1"/>
      </right>
      <top/>
      <bottom/>
      <diagonal/>
    </border>
    <border>
      <left/>
      <right style="double">
        <color theme="1"/>
      </right>
      <top/>
      <bottom style="double">
        <color theme="1"/>
      </bottom>
      <diagonal/>
    </border>
    <border>
      <left style="hair">
        <color theme="1"/>
      </left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double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double">
        <color theme="1"/>
      </right>
      <top/>
      <bottom style="hair">
        <color theme="1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 style="hair">
        <color theme="2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2"/>
      </left>
      <right style="hair">
        <color theme="2"/>
      </right>
      <top style="hair">
        <color theme="2"/>
      </top>
      <bottom style="hair">
        <color theme="2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9" tint="-0.249977111117893"/>
      </right>
      <top style="thin">
        <color theme="0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thin">
        <color theme="0"/>
      </bottom>
      <diagonal/>
    </border>
    <border>
      <left/>
      <right style="medium">
        <color theme="9" tint="-0.249977111117893"/>
      </right>
      <top/>
      <bottom style="thin">
        <color theme="0"/>
      </bottom>
      <diagonal/>
    </border>
    <border>
      <left style="medium">
        <color theme="9" tint="-0.249977111117893"/>
      </left>
      <right/>
      <top style="thin">
        <color theme="0"/>
      </top>
      <bottom style="thin">
        <color theme="0"/>
      </bottom>
      <diagonal/>
    </border>
    <border>
      <left/>
      <right style="medium">
        <color theme="9" tint="-0.249977111117893"/>
      </right>
      <top style="thin">
        <color theme="0"/>
      </top>
      <bottom style="thin">
        <color theme="0"/>
      </bottom>
      <diagonal/>
    </border>
    <border>
      <left style="medium">
        <color theme="9" tint="-0.24997711111789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9" tint="-0.249977111117893"/>
      </right>
      <top style="thin">
        <color theme="0"/>
      </top>
      <bottom style="thin">
        <color theme="0"/>
      </bottom>
      <diagonal/>
    </border>
    <border>
      <left style="medium">
        <color theme="9" tint="-0.249977111117893"/>
      </left>
      <right/>
      <top style="thin">
        <color theme="0"/>
      </top>
      <bottom style="medium">
        <color theme="9" tint="-0.249977111117893"/>
      </bottom>
      <diagonal/>
    </border>
    <border>
      <left/>
      <right/>
      <top style="thin">
        <color theme="0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thin">
        <color theme="0"/>
      </top>
      <bottom style="medium">
        <color theme="9" tint="-0.24997711111789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thin">
        <color theme="0"/>
      </bottom>
      <diagonal/>
    </border>
    <border>
      <left/>
      <right/>
      <top style="medium">
        <color theme="9" tint="-0.249977111117893"/>
      </top>
      <bottom style="thin">
        <color theme="0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2" fillId="4" borderId="1" applyFont="0" applyBorder="0" applyAlignment="0">
      <alignment vertical="center" wrapText="1"/>
    </xf>
    <xf numFmtId="0" fontId="14" fillId="0" borderId="0" applyNumberFormat="0" applyFill="0" applyBorder="0" applyAlignment="0" applyProtection="0"/>
    <xf numFmtId="0" fontId="6" fillId="0" borderId="2"/>
  </cellStyleXfs>
  <cellXfs count="207">
    <xf numFmtId="0" fontId="0" fillId="0" borderId="0" xfId="0"/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2" borderId="0" xfId="0" applyFont="1" applyFill="1" applyAlignment="1">
      <alignment horizontal="center" vertical="center"/>
    </xf>
    <xf numFmtId="0" fontId="9" fillId="0" borderId="0" xfId="0" applyFont="1"/>
    <xf numFmtId="16" fontId="15" fillId="6" borderId="21" xfId="0" applyNumberFormat="1" applyFont="1" applyFill="1" applyBorder="1" applyAlignment="1"/>
    <xf numFmtId="165" fontId="15" fillId="6" borderId="21" xfId="0" applyNumberFormat="1" applyFont="1" applyFill="1" applyBorder="1" applyAlignment="1"/>
    <xf numFmtId="0" fontId="15" fillId="6" borderId="21" xfId="0" applyFont="1" applyFill="1" applyBorder="1" applyAlignment="1">
      <alignment horizontal="center"/>
    </xf>
    <xf numFmtId="16" fontId="15" fillId="6" borderId="21" xfId="0" applyNumberFormat="1" applyFont="1" applyFill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15" fillId="6" borderId="21" xfId="0" applyFont="1" applyFill="1" applyBorder="1" applyAlignment="1">
      <alignment horizontal="center" vertical="center"/>
    </xf>
    <xf numFmtId="16" fontId="15" fillId="6" borderId="21" xfId="0" applyNumberFormat="1" applyFont="1" applyFill="1" applyBorder="1" applyAlignment="1">
      <alignment horizontal="center" vertical="center"/>
    </xf>
    <xf numFmtId="0" fontId="0" fillId="0" borderId="45" xfId="0" applyBorder="1"/>
    <xf numFmtId="0" fontId="0" fillId="0" borderId="43" xfId="0" applyBorder="1"/>
    <xf numFmtId="0" fontId="7" fillId="3" borderId="15" xfId="0" applyFont="1" applyFill="1" applyBorder="1" applyAlignment="1">
      <alignment horizontal="center" vertical="center"/>
    </xf>
    <xf numFmtId="9" fontId="7" fillId="3" borderId="3" xfId="2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left" vertical="center" wrapText="1"/>
    </xf>
    <xf numFmtId="0" fontId="7" fillId="3" borderId="16" xfId="0" applyFont="1" applyFill="1" applyBorder="1" applyAlignment="1">
      <alignment horizontal="left" vertical="center" wrapText="1" readingOrder="1"/>
    </xf>
    <xf numFmtId="2" fontId="7" fillId="0" borderId="16" xfId="3" applyNumberFormat="1" applyFont="1" applyFill="1" applyBorder="1" applyAlignment="1">
      <alignment horizontal="left" vertical="center" wrapText="1"/>
    </xf>
    <xf numFmtId="9" fontId="7" fillId="0" borderId="3" xfId="2" applyFont="1" applyFill="1" applyBorder="1" applyAlignment="1">
      <alignment horizontal="center" vertical="center"/>
    </xf>
    <xf numFmtId="2" fontId="7" fillId="0" borderId="17" xfId="3" applyNumberFormat="1" applyFont="1" applyFill="1" applyBorder="1" applyAlignment="1">
      <alignment horizontal="left" vertical="center" wrapText="1"/>
    </xf>
    <xf numFmtId="9" fontId="7" fillId="0" borderId="18" xfId="2" applyFont="1" applyFill="1" applyBorder="1" applyAlignment="1">
      <alignment horizontal="center" vertical="center"/>
    </xf>
    <xf numFmtId="9" fontId="19" fillId="11" borderId="19" xfId="0" applyNumberFormat="1" applyFont="1" applyFill="1" applyBorder="1" applyAlignment="1">
      <alignment horizontal="center" vertical="center"/>
    </xf>
    <xf numFmtId="0" fontId="7" fillId="8" borderId="44" xfId="0" applyFont="1" applyFill="1" applyBorder="1" applyAlignment="1">
      <alignment horizontal="center"/>
    </xf>
    <xf numFmtId="0" fontId="7" fillId="8" borderId="0" xfId="0" applyFont="1" applyFill="1"/>
    <xf numFmtId="0" fontId="7" fillId="0" borderId="46" xfId="0" applyFont="1" applyFill="1" applyBorder="1" applyAlignment="1">
      <alignment horizontal="center"/>
    </xf>
    <xf numFmtId="0" fontId="15" fillId="6" borderId="21" xfId="0" applyFont="1" applyFill="1" applyBorder="1" applyAlignment="1">
      <alignment horizontal="center"/>
    </xf>
    <xf numFmtId="0" fontId="6" fillId="0" borderId="4" xfId="5" applyBorder="1" applyAlignment="1">
      <alignment horizontal="center" vertical="center"/>
    </xf>
    <xf numFmtId="0" fontId="6" fillId="0" borderId="12" xfId="5" applyBorder="1"/>
    <xf numFmtId="0" fontId="6" fillId="0" borderId="4" xfId="5" applyBorder="1"/>
    <xf numFmtId="0" fontId="6" fillId="0" borderId="2" xfId="5"/>
    <xf numFmtId="0" fontId="6" fillId="0" borderId="9" xfId="5" applyBorder="1"/>
    <xf numFmtId="0" fontId="6" fillId="0" borderId="11" xfId="5" applyBorder="1"/>
    <xf numFmtId="0" fontId="6" fillId="0" borderId="9" xfId="5" applyBorder="1" applyAlignment="1">
      <alignment horizontal="center" vertical="center"/>
    </xf>
    <xf numFmtId="0" fontId="6" fillId="0" borderId="2" xfId="5" applyAlignment="1">
      <alignment horizontal="center" vertical="center"/>
    </xf>
    <xf numFmtId="0" fontId="6" fillId="0" borderId="14" xfId="5" applyBorder="1"/>
    <xf numFmtId="0" fontId="6" fillId="0" borderId="50" xfId="5" applyBorder="1"/>
    <xf numFmtId="0" fontId="6" fillId="0" borderId="51" xfId="5" applyBorder="1"/>
    <xf numFmtId="0" fontId="6" fillId="0" borderId="58" xfId="5" applyBorder="1" applyAlignment="1">
      <alignment vertical="center"/>
    </xf>
    <xf numFmtId="0" fontId="6" fillId="0" borderId="4" xfId="5" applyBorder="1" applyAlignment="1">
      <alignment vertical="center"/>
    </xf>
    <xf numFmtId="0" fontId="6" fillId="0" borderId="59" xfId="5" applyBorder="1" applyAlignment="1">
      <alignment vertical="center"/>
    </xf>
    <xf numFmtId="0" fontId="6" fillId="0" borderId="13" xfId="5" applyBorder="1"/>
    <xf numFmtId="0" fontId="6" fillId="0" borderId="63" xfId="5" applyBorder="1"/>
    <xf numFmtId="0" fontId="6" fillId="0" borderId="10" xfId="5" applyBorder="1"/>
    <xf numFmtId="0" fontId="12" fillId="0" borderId="70" xfId="3" applyFont="1" applyFill="1" applyBorder="1" applyAlignment="1">
      <alignment vertical="center" wrapText="1"/>
    </xf>
    <xf numFmtId="0" fontId="12" fillId="0" borderId="71" xfId="3" applyFont="1" applyFill="1" applyBorder="1" applyAlignment="1">
      <alignment vertical="center" wrapText="1"/>
    </xf>
    <xf numFmtId="2" fontId="7" fillId="0" borderId="71" xfId="3" applyNumberFormat="1" applyFont="1" applyFill="1" applyBorder="1" applyAlignment="1">
      <alignment horizontal="center"/>
    </xf>
    <xf numFmtId="2" fontId="16" fillId="0" borderId="71" xfId="1" applyNumberFormat="1" applyFont="1" applyFill="1" applyBorder="1" applyAlignment="1">
      <alignment horizontal="center"/>
    </xf>
    <xf numFmtId="0" fontId="7" fillId="0" borderId="72" xfId="0" applyFont="1" applyFill="1" applyBorder="1" applyAlignment="1">
      <alignment horizontal="center"/>
    </xf>
    <xf numFmtId="0" fontId="20" fillId="0" borderId="71" xfId="4" applyFont="1" applyFill="1" applyBorder="1" applyAlignment="1">
      <alignment horizontal="left" vertical="center" indent="1"/>
    </xf>
    <xf numFmtId="0" fontId="12" fillId="5" borderId="71" xfId="3" applyFont="1" applyFill="1" applyBorder="1" applyAlignment="1">
      <alignment vertical="center" wrapText="1"/>
    </xf>
    <xf numFmtId="0" fontId="20" fillId="5" borderId="71" xfId="4" applyFont="1" applyFill="1" applyBorder="1" applyAlignment="1">
      <alignment horizontal="left" vertical="center" indent="1"/>
    </xf>
    <xf numFmtId="2" fontId="7" fillId="5" borderId="71" xfId="3" applyNumberFormat="1" applyFont="1" applyFill="1" applyBorder="1" applyAlignment="1">
      <alignment horizontal="center"/>
    </xf>
    <xf numFmtId="2" fontId="16" fillId="5" borderId="71" xfId="1" applyNumberFormat="1" applyFont="1" applyFill="1" applyBorder="1" applyAlignment="1">
      <alignment horizontal="center"/>
    </xf>
    <xf numFmtId="0" fontId="7" fillId="5" borderId="72" xfId="0" applyFont="1" applyFill="1" applyBorder="1" applyAlignment="1">
      <alignment horizontal="center"/>
    </xf>
    <xf numFmtId="0" fontId="12" fillId="5" borderId="71" xfId="3" applyFont="1" applyFill="1" applyBorder="1" applyAlignment="1">
      <alignment vertical="center"/>
    </xf>
    <xf numFmtId="2" fontId="16" fillId="0" borderId="70" xfId="1" applyNumberFormat="1" applyFont="1" applyFill="1" applyBorder="1" applyAlignment="1">
      <alignment horizontal="center"/>
    </xf>
    <xf numFmtId="0" fontId="12" fillId="0" borderId="71" xfId="3" applyFont="1" applyFill="1" applyBorder="1" applyAlignment="1">
      <alignment vertical="center"/>
    </xf>
    <xf numFmtId="0" fontId="20" fillId="0" borderId="71" xfId="3" applyFont="1" applyFill="1" applyBorder="1" applyAlignment="1">
      <alignment horizontal="left" vertical="center" indent="1"/>
    </xf>
    <xf numFmtId="2" fontId="7" fillId="0" borderId="71" xfId="0" applyNumberFormat="1" applyFont="1" applyFill="1" applyBorder="1" applyAlignment="1">
      <alignment horizontal="center"/>
    </xf>
    <xf numFmtId="0" fontId="20" fillId="5" borderId="71" xfId="3" applyFont="1" applyFill="1" applyBorder="1" applyAlignment="1">
      <alignment horizontal="left" vertical="center" indent="1"/>
    </xf>
    <xf numFmtId="2" fontId="16" fillId="5" borderId="71" xfId="3" applyNumberFormat="1" applyFont="1" applyFill="1" applyBorder="1" applyAlignment="1">
      <alignment horizontal="center"/>
    </xf>
    <xf numFmtId="0" fontId="20" fillId="0" borderId="70" xfId="3" applyFont="1" applyFill="1" applyBorder="1" applyAlignment="1">
      <alignment horizontal="left" vertical="center" indent="1"/>
    </xf>
    <xf numFmtId="2" fontId="7" fillId="0" borderId="70" xfId="0" applyNumberFormat="1" applyFont="1" applyFill="1" applyBorder="1" applyAlignment="1">
      <alignment horizontal="center"/>
    </xf>
    <xf numFmtId="2" fontId="13" fillId="5" borderId="71" xfId="3" applyNumberFormat="1" applyFont="1" applyFill="1" applyBorder="1" applyAlignment="1">
      <alignment horizontal="center"/>
    </xf>
    <xf numFmtId="2" fontId="7" fillId="5" borderId="71" xfId="0" applyNumberFormat="1" applyFont="1" applyFill="1" applyBorder="1" applyAlignment="1">
      <alignment horizontal="center"/>
    </xf>
    <xf numFmtId="0" fontId="6" fillId="12" borderId="38" xfId="5" applyFill="1" applyBorder="1"/>
    <xf numFmtId="0" fontId="6" fillId="12" borderId="2" xfId="5" applyFill="1"/>
    <xf numFmtId="0" fontId="15" fillId="6" borderId="2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0" fillId="0" borderId="73" xfId="4" applyFont="1" applyFill="1" applyBorder="1" applyAlignment="1">
      <alignment horizontal="left" vertical="center" indent="1"/>
    </xf>
    <xf numFmtId="2" fontId="7" fillId="0" borderId="73" xfId="3" applyNumberFormat="1" applyFont="1" applyFill="1" applyBorder="1" applyAlignment="1">
      <alignment horizontal="center"/>
    </xf>
    <xf numFmtId="2" fontId="16" fillId="0" borderId="73" xfId="1" applyNumberFormat="1" applyFont="1" applyFill="1" applyBorder="1" applyAlignment="1">
      <alignment horizontal="center"/>
    </xf>
    <xf numFmtId="0" fontId="7" fillId="0" borderId="74" xfId="0" applyFont="1" applyFill="1" applyBorder="1" applyAlignment="1">
      <alignment horizontal="center"/>
    </xf>
    <xf numFmtId="0" fontId="20" fillId="5" borderId="75" xfId="4" applyFont="1" applyFill="1" applyBorder="1" applyAlignment="1">
      <alignment horizontal="left" vertical="center" indent="1"/>
    </xf>
    <xf numFmtId="2" fontId="7" fillId="5" borderId="75" xfId="3" applyNumberFormat="1" applyFont="1" applyFill="1" applyBorder="1" applyAlignment="1">
      <alignment horizontal="center"/>
    </xf>
    <xf numFmtId="2" fontId="16" fillId="5" borderId="75" xfId="1" applyNumberFormat="1" applyFont="1" applyFill="1" applyBorder="1" applyAlignment="1">
      <alignment horizontal="center"/>
    </xf>
    <xf numFmtId="0" fontId="7" fillId="5" borderId="76" xfId="0" applyFont="1" applyFill="1" applyBorder="1" applyAlignment="1">
      <alignment horizontal="center"/>
    </xf>
    <xf numFmtId="0" fontId="20" fillId="0" borderId="75" xfId="4" applyFont="1" applyFill="1" applyBorder="1" applyAlignment="1">
      <alignment horizontal="left" vertical="center" indent="1"/>
    </xf>
    <xf numFmtId="2" fontId="7" fillId="0" borderId="75" xfId="3" applyNumberFormat="1" applyFont="1" applyFill="1" applyBorder="1" applyAlignment="1">
      <alignment horizontal="center"/>
    </xf>
    <xf numFmtId="2" fontId="16" fillId="0" borderId="75" xfId="1" applyNumberFormat="1" applyFont="1" applyFill="1" applyBorder="1" applyAlignment="1">
      <alignment horizontal="center"/>
    </xf>
    <xf numFmtId="0" fontId="7" fillId="0" borderId="76" xfId="0" applyFont="1" applyFill="1" applyBorder="1" applyAlignment="1">
      <alignment horizontal="center"/>
    </xf>
    <xf numFmtId="2" fontId="7" fillId="5" borderId="75" xfId="0" applyNumberFormat="1" applyFont="1" applyFill="1" applyBorder="1" applyAlignment="1">
      <alignment horizontal="center"/>
    </xf>
    <xf numFmtId="0" fontId="22" fillId="5" borderId="77" xfId="0" applyFont="1" applyFill="1" applyBorder="1" applyAlignment="1">
      <alignment vertical="center" wrapText="1"/>
    </xf>
    <xf numFmtId="0" fontId="22" fillId="5" borderId="78" xfId="0" applyFont="1" applyFill="1" applyBorder="1" applyAlignment="1">
      <alignment vertical="center" wrapText="1"/>
    </xf>
    <xf numFmtId="0" fontId="20" fillId="5" borderId="78" xfId="4" applyFont="1" applyFill="1" applyBorder="1" applyAlignment="1">
      <alignment horizontal="left" vertical="center" indent="1"/>
    </xf>
    <xf numFmtId="2" fontId="7" fillId="5" borderId="78" xfId="3" applyNumberFormat="1" applyFont="1" applyFill="1" applyBorder="1" applyAlignment="1">
      <alignment horizontal="center"/>
    </xf>
    <xf numFmtId="2" fontId="13" fillId="5" borderId="78" xfId="3" applyNumberFormat="1" applyFont="1" applyFill="1" applyBorder="1" applyAlignment="1">
      <alignment horizontal="center"/>
    </xf>
    <xf numFmtId="2" fontId="16" fillId="5" borderId="78" xfId="1" applyNumberFormat="1" applyFont="1" applyFill="1" applyBorder="1" applyAlignment="1">
      <alignment horizontal="center"/>
    </xf>
    <xf numFmtId="0" fontId="7" fillId="5" borderId="79" xfId="0" applyFont="1" applyFill="1" applyBorder="1" applyAlignment="1">
      <alignment horizontal="center"/>
    </xf>
    <xf numFmtId="0" fontId="0" fillId="0" borderId="80" xfId="0" applyFill="1" applyBorder="1"/>
    <xf numFmtId="0" fontId="0" fillId="0" borderId="73" xfId="0" applyFill="1" applyBorder="1" applyAlignment="1">
      <alignment horizontal="left"/>
    </xf>
    <xf numFmtId="0" fontId="0" fillId="0" borderId="81" xfId="0" applyFill="1" applyBorder="1"/>
    <xf numFmtId="0" fontId="0" fillId="0" borderId="75" xfId="0" applyFill="1" applyBorder="1" applyAlignment="1">
      <alignment horizontal="left"/>
    </xf>
    <xf numFmtId="0" fontId="0" fillId="5" borderId="81" xfId="0" applyFill="1" applyBorder="1"/>
    <xf numFmtId="0" fontId="0" fillId="5" borderId="75" xfId="0" applyFill="1" applyBorder="1" applyAlignment="1">
      <alignment horizontal="left"/>
    </xf>
    <xf numFmtId="0" fontId="4" fillId="0" borderId="47" xfId="5" applyFont="1" applyBorder="1" applyAlignment="1">
      <alignment horizontal="left" vertical="center" wrapText="1"/>
    </xf>
    <xf numFmtId="0" fontId="6" fillId="0" borderId="48" xfId="5" applyBorder="1" applyAlignment="1">
      <alignment horizontal="left" vertical="center" wrapText="1"/>
    </xf>
    <xf numFmtId="0" fontId="6" fillId="0" borderId="49" xfId="5" applyBorder="1" applyAlignment="1">
      <alignment horizontal="left" vertical="center" wrapText="1"/>
    </xf>
    <xf numFmtId="0" fontId="6" fillId="0" borderId="52" xfId="5" applyBorder="1" applyAlignment="1">
      <alignment horizontal="left" vertical="center" wrapText="1"/>
    </xf>
    <xf numFmtId="0" fontId="6" fillId="0" borderId="2" xfId="5" applyAlignment="1">
      <alignment horizontal="left" vertical="center" wrapText="1"/>
    </xf>
    <xf numFmtId="0" fontId="6" fillId="0" borderId="53" xfId="5" applyBorder="1" applyAlignment="1">
      <alignment horizontal="left" vertical="center" wrapText="1"/>
    </xf>
    <xf numFmtId="0" fontId="6" fillId="0" borderId="64" xfId="5" applyBorder="1" applyAlignment="1">
      <alignment horizontal="left" vertical="center" wrapText="1"/>
    </xf>
    <xf numFmtId="0" fontId="6" fillId="0" borderId="65" xfId="5" applyBorder="1" applyAlignment="1">
      <alignment horizontal="left" vertical="center" wrapText="1"/>
    </xf>
    <xf numFmtId="0" fontId="6" fillId="0" borderId="66" xfId="5" applyBorder="1" applyAlignment="1">
      <alignment horizontal="left" vertical="center" wrapText="1"/>
    </xf>
    <xf numFmtId="0" fontId="6" fillId="0" borderId="56" xfId="5" applyBorder="1" applyAlignment="1">
      <alignment horizontal="left"/>
    </xf>
    <xf numFmtId="0" fontId="6" fillId="0" borderId="10" xfId="5" applyBorder="1" applyAlignment="1">
      <alignment horizontal="left"/>
    </xf>
    <xf numFmtId="0" fontId="6" fillId="0" borderId="57" xfId="5" applyBorder="1" applyAlignment="1">
      <alignment horizontal="left"/>
    </xf>
    <xf numFmtId="0" fontId="3" fillId="0" borderId="60" xfId="5" applyFont="1" applyBorder="1" applyAlignment="1">
      <alignment horizontal="left" wrapText="1"/>
    </xf>
    <xf numFmtId="0" fontId="6" fillId="0" borderId="61" xfId="5" applyBorder="1" applyAlignment="1">
      <alignment horizontal="left" wrapText="1"/>
    </xf>
    <xf numFmtId="0" fontId="6" fillId="0" borderId="62" xfId="5" applyBorder="1" applyAlignment="1">
      <alignment horizontal="left" wrapText="1"/>
    </xf>
    <xf numFmtId="0" fontId="2" fillId="9" borderId="52" xfId="5" applyFont="1" applyFill="1" applyBorder="1" applyAlignment="1">
      <alignment horizontal="left" vertical="center"/>
    </xf>
    <xf numFmtId="0" fontId="2" fillId="9" borderId="2" xfId="5" applyFont="1" applyFill="1" applyBorder="1" applyAlignment="1">
      <alignment horizontal="left" vertical="center"/>
    </xf>
    <xf numFmtId="0" fontId="2" fillId="9" borderId="53" xfId="5" applyFont="1" applyFill="1" applyBorder="1" applyAlignment="1">
      <alignment horizontal="left" vertical="center"/>
    </xf>
    <xf numFmtId="0" fontId="2" fillId="0" borderId="52" xfId="5" applyFont="1" applyBorder="1" applyAlignment="1">
      <alignment horizontal="left" vertical="center"/>
    </xf>
    <xf numFmtId="0" fontId="2" fillId="0" borderId="2" xfId="5" applyFont="1" applyBorder="1" applyAlignment="1">
      <alignment horizontal="left" vertical="center"/>
    </xf>
    <xf numFmtId="0" fontId="2" fillId="0" borderId="53" xfId="5" applyFont="1" applyBorder="1" applyAlignment="1">
      <alignment horizontal="left" vertical="center"/>
    </xf>
    <xf numFmtId="0" fontId="2" fillId="9" borderId="52" xfId="5" applyFont="1" applyFill="1" applyBorder="1" applyAlignment="1">
      <alignment horizontal="left" vertical="center" wrapText="1"/>
    </xf>
    <xf numFmtId="0" fontId="6" fillId="9" borderId="2" xfId="5" applyFill="1" applyAlignment="1">
      <alignment horizontal="left" vertical="center" wrapText="1"/>
    </xf>
    <xf numFmtId="0" fontId="6" fillId="9" borderId="53" xfId="5" applyFill="1" applyBorder="1" applyAlignment="1">
      <alignment horizontal="left" vertical="center" wrapText="1"/>
    </xf>
    <xf numFmtId="0" fontId="6" fillId="0" borderId="47" xfId="5" applyBorder="1" applyAlignment="1">
      <alignment horizontal="left" wrapText="1"/>
    </xf>
    <xf numFmtId="0" fontId="6" fillId="0" borderId="48" xfId="5" applyBorder="1" applyAlignment="1">
      <alignment horizontal="left" wrapText="1"/>
    </xf>
    <xf numFmtId="0" fontId="6" fillId="0" borderId="49" xfId="5" applyBorder="1" applyAlignment="1">
      <alignment horizontal="left" wrapText="1"/>
    </xf>
    <xf numFmtId="0" fontId="6" fillId="0" borderId="52" xfId="5" applyBorder="1" applyAlignment="1">
      <alignment horizontal="left" wrapText="1"/>
    </xf>
    <xf numFmtId="0" fontId="6" fillId="0" borderId="2" xfId="5" applyAlignment="1">
      <alignment horizontal="left" wrapText="1"/>
    </xf>
    <xf numFmtId="0" fontId="6" fillId="0" borderId="53" xfId="5" applyBorder="1" applyAlignment="1">
      <alignment horizontal="left" wrapText="1"/>
    </xf>
    <xf numFmtId="0" fontId="6" fillId="0" borderId="64" xfId="5" applyBorder="1" applyAlignment="1">
      <alignment horizontal="left" wrapText="1"/>
    </xf>
    <xf numFmtId="0" fontId="6" fillId="0" borderId="65" xfId="5" applyBorder="1" applyAlignment="1">
      <alignment horizontal="left" wrapText="1"/>
    </xf>
    <xf numFmtId="0" fontId="6" fillId="0" borderId="66" xfId="5" applyBorder="1" applyAlignment="1">
      <alignment horizontal="left" wrapText="1"/>
    </xf>
    <xf numFmtId="0" fontId="6" fillId="0" borderId="47" xfId="5" applyBorder="1" applyAlignment="1">
      <alignment vertical="center" wrapText="1"/>
    </xf>
    <xf numFmtId="0" fontId="6" fillId="0" borderId="48" xfId="5" applyBorder="1" applyAlignment="1">
      <alignment vertical="center" wrapText="1"/>
    </xf>
    <xf numFmtId="0" fontId="6" fillId="0" borderId="49" xfId="5" applyBorder="1" applyAlignment="1">
      <alignment vertical="center" wrapText="1"/>
    </xf>
    <xf numFmtId="0" fontId="6" fillId="0" borderId="52" xfId="5" applyBorder="1" applyAlignment="1">
      <alignment vertical="center" wrapText="1"/>
    </xf>
    <xf numFmtId="0" fontId="6" fillId="0" borderId="2" xfId="5" applyAlignment="1">
      <alignment vertical="center" wrapText="1"/>
    </xf>
    <xf numFmtId="0" fontId="6" fillId="0" borderId="53" xfId="5" applyBorder="1" applyAlignment="1">
      <alignment vertical="center" wrapText="1"/>
    </xf>
    <xf numFmtId="0" fontId="6" fillId="0" borderId="64" xfId="5" applyBorder="1" applyAlignment="1">
      <alignment vertical="center" wrapText="1"/>
    </xf>
    <xf numFmtId="0" fontId="6" fillId="0" borderId="65" xfId="5" applyBorder="1" applyAlignment="1">
      <alignment vertical="center" wrapText="1"/>
    </xf>
    <xf numFmtId="0" fontId="6" fillId="0" borderId="66" xfId="5" applyBorder="1" applyAlignment="1">
      <alignment vertical="center" wrapText="1"/>
    </xf>
    <xf numFmtId="0" fontId="18" fillId="10" borderId="47" xfId="5" applyFont="1" applyFill="1" applyBorder="1" applyAlignment="1">
      <alignment horizontal="center" vertical="center"/>
    </xf>
    <xf numFmtId="0" fontId="18" fillId="10" borderId="48" xfId="5" applyFont="1" applyFill="1" applyBorder="1" applyAlignment="1">
      <alignment horizontal="center" vertical="center"/>
    </xf>
    <xf numFmtId="0" fontId="18" fillId="10" borderId="49" xfId="5" applyFont="1" applyFill="1" applyBorder="1" applyAlignment="1">
      <alignment horizontal="center" vertical="center"/>
    </xf>
    <xf numFmtId="0" fontId="18" fillId="10" borderId="67" xfId="5" applyFont="1" applyFill="1" applyBorder="1" applyAlignment="1">
      <alignment horizontal="center" vertical="center"/>
    </xf>
    <xf numFmtId="0" fontId="18" fillId="10" borderId="68" xfId="5" applyFont="1" applyFill="1" applyBorder="1" applyAlignment="1">
      <alignment horizontal="center" vertical="center"/>
    </xf>
    <xf numFmtId="0" fontId="18" fillId="10" borderId="69" xfId="5" applyFont="1" applyFill="1" applyBorder="1" applyAlignment="1">
      <alignment horizontal="center" vertical="center"/>
    </xf>
    <xf numFmtId="0" fontId="2" fillId="0" borderId="54" xfId="5" applyFont="1" applyBorder="1" applyAlignment="1">
      <alignment horizontal="left" vertical="center"/>
    </xf>
    <xf numFmtId="0" fontId="6" fillId="0" borderId="8" xfId="5" applyBorder="1" applyAlignment="1">
      <alignment horizontal="left" vertical="center"/>
    </xf>
    <xf numFmtId="0" fontId="6" fillId="0" borderId="55" xfId="5" applyBorder="1" applyAlignment="1">
      <alignment horizontal="left" vertical="center"/>
    </xf>
    <xf numFmtId="0" fontId="2" fillId="9" borderId="56" xfId="5" applyFont="1" applyFill="1" applyBorder="1" applyAlignment="1">
      <alignment horizontal="left" vertical="center" wrapText="1"/>
    </xf>
    <xf numFmtId="0" fontId="6" fillId="9" borderId="10" xfId="5" applyFill="1" applyBorder="1" applyAlignment="1">
      <alignment horizontal="left" vertical="center" wrapText="1"/>
    </xf>
    <xf numFmtId="0" fontId="6" fillId="9" borderId="57" xfId="5" applyFill="1" applyBorder="1" applyAlignment="1">
      <alignment horizontal="left" vertical="center" wrapText="1"/>
    </xf>
    <xf numFmtId="0" fontId="2" fillId="0" borderId="56" xfId="5" applyFont="1" applyBorder="1" applyAlignment="1">
      <alignment horizontal="left" vertical="center"/>
    </xf>
    <xf numFmtId="0" fontId="6" fillId="0" borderId="10" xfId="5" applyBorder="1" applyAlignment="1">
      <alignment horizontal="left" vertical="center"/>
    </xf>
    <xf numFmtId="0" fontId="6" fillId="0" borderId="57" xfId="5" applyBorder="1" applyAlignment="1">
      <alignment horizontal="left" vertical="center"/>
    </xf>
    <xf numFmtId="0" fontId="2" fillId="13" borderId="56" xfId="5" applyFont="1" applyFill="1" applyBorder="1" applyAlignment="1">
      <alignment horizontal="left" vertical="center"/>
    </xf>
    <xf numFmtId="0" fontId="6" fillId="13" borderId="10" xfId="5" applyFill="1" applyBorder="1" applyAlignment="1">
      <alignment horizontal="left" vertical="center"/>
    </xf>
    <xf numFmtId="0" fontId="6" fillId="13" borderId="57" xfId="5" applyFill="1" applyBorder="1" applyAlignment="1">
      <alignment horizontal="left" vertical="center"/>
    </xf>
    <xf numFmtId="0" fontId="2" fillId="9" borderId="56" xfId="5" applyFont="1" applyFill="1" applyBorder="1" applyAlignment="1">
      <alignment horizontal="left" vertical="center"/>
    </xf>
    <xf numFmtId="0" fontId="6" fillId="9" borderId="10" xfId="5" applyFill="1" applyBorder="1" applyAlignment="1">
      <alignment horizontal="left" vertical="center"/>
    </xf>
    <xf numFmtId="0" fontId="6" fillId="9" borderId="57" xfId="5" applyFill="1" applyBorder="1" applyAlignment="1">
      <alignment horizontal="left" vertical="center"/>
    </xf>
    <xf numFmtId="0" fontId="2" fillId="9" borderId="60" xfId="5" applyFont="1" applyFill="1" applyBorder="1" applyAlignment="1">
      <alignment horizontal="left" vertical="center"/>
    </xf>
    <xf numFmtId="0" fontId="6" fillId="9" borderId="61" xfId="5" applyFill="1" applyBorder="1" applyAlignment="1">
      <alignment horizontal="left" vertical="center"/>
    </xf>
    <xf numFmtId="0" fontId="6" fillId="9" borderId="62" xfId="5" applyFill="1" applyBorder="1" applyAlignment="1">
      <alignment horizontal="left" vertical="center"/>
    </xf>
    <xf numFmtId="0" fontId="6" fillId="12" borderId="35" xfId="5" applyFill="1" applyBorder="1" applyAlignment="1">
      <alignment horizontal="left"/>
    </xf>
    <xf numFmtId="0" fontId="6" fillId="12" borderId="36" xfId="5" applyFill="1" applyBorder="1" applyAlignment="1">
      <alignment horizontal="left"/>
    </xf>
    <xf numFmtId="0" fontId="6" fillId="12" borderId="37" xfId="5" applyFill="1" applyBorder="1" applyAlignment="1">
      <alignment horizontal="left"/>
    </xf>
    <xf numFmtId="0" fontId="6" fillId="12" borderId="2" xfId="5" applyFill="1" applyAlignment="1">
      <alignment horizontal="center"/>
    </xf>
    <xf numFmtId="0" fontId="6" fillId="12" borderId="39" xfId="5" applyFill="1" applyBorder="1" applyAlignment="1">
      <alignment horizontal="center"/>
    </xf>
    <xf numFmtId="0" fontId="6" fillId="12" borderId="38" xfId="5" applyFill="1" applyBorder="1" applyAlignment="1">
      <alignment horizontal="left" wrapText="1"/>
    </xf>
    <xf numFmtId="0" fontId="6" fillId="12" borderId="2" xfId="5" applyFill="1" applyAlignment="1">
      <alignment horizontal="left" wrapText="1"/>
    </xf>
    <xf numFmtId="0" fontId="6" fillId="12" borderId="39" xfId="5" applyFill="1" applyBorder="1" applyAlignment="1">
      <alignment horizontal="left" wrapText="1"/>
    </xf>
    <xf numFmtId="0" fontId="6" fillId="12" borderId="38" xfId="5" applyFill="1" applyBorder="1" applyAlignment="1">
      <alignment horizontal="left"/>
    </xf>
    <xf numFmtId="0" fontId="6" fillId="12" borderId="2" xfId="5" applyFill="1" applyAlignment="1">
      <alignment horizontal="left"/>
    </xf>
    <xf numFmtId="0" fontId="6" fillId="12" borderId="39" xfId="5" applyFill="1" applyBorder="1" applyAlignment="1">
      <alignment horizontal="left"/>
    </xf>
    <xf numFmtId="0" fontId="6" fillId="12" borderId="40" xfId="5" applyFill="1" applyBorder="1" applyAlignment="1">
      <alignment horizontal="center"/>
    </xf>
    <xf numFmtId="0" fontId="6" fillId="12" borderId="41" xfId="5" applyFill="1" applyBorder="1" applyAlignment="1">
      <alignment horizontal="center"/>
    </xf>
    <xf numFmtId="0" fontId="6" fillId="12" borderId="42" xfId="5" applyFill="1" applyBorder="1" applyAlignment="1">
      <alignment horizontal="center"/>
    </xf>
    <xf numFmtId="0" fontId="6" fillId="0" borderId="5" xfId="5" applyBorder="1" applyAlignment="1">
      <alignment horizontal="center"/>
    </xf>
    <xf numFmtId="0" fontId="6" fillId="0" borderId="6" xfId="5" applyBorder="1" applyAlignment="1">
      <alignment horizontal="center"/>
    </xf>
    <xf numFmtId="0" fontId="6" fillId="0" borderId="7" xfId="5" applyBorder="1" applyAlignment="1">
      <alignment horizontal="center"/>
    </xf>
    <xf numFmtId="0" fontId="4" fillId="12" borderId="52" xfId="5" applyFont="1" applyFill="1" applyBorder="1" applyAlignment="1">
      <alignment horizontal="left" vertical="center"/>
    </xf>
    <xf numFmtId="0" fontId="6" fillId="12" borderId="2" xfId="5" applyFill="1" applyAlignment="1">
      <alignment horizontal="left" vertical="center"/>
    </xf>
    <xf numFmtId="0" fontId="6" fillId="12" borderId="53" xfId="5" applyFill="1" applyBorder="1" applyAlignment="1">
      <alignment horizontal="left" vertical="center"/>
    </xf>
    <xf numFmtId="0" fontId="6" fillId="12" borderId="40" xfId="5" applyFill="1" applyBorder="1" applyAlignment="1">
      <alignment horizontal="left"/>
    </xf>
    <xf numFmtId="0" fontId="6" fillId="12" borderId="41" xfId="5" applyFill="1" applyBorder="1" applyAlignment="1">
      <alignment horizontal="left"/>
    </xf>
    <xf numFmtId="0" fontId="6" fillId="12" borderId="42" xfId="5" applyFill="1" applyBorder="1" applyAlignment="1">
      <alignment horizontal="left"/>
    </xf>
    <xf numFmtId="0" fontId="6" fillId="12" borderId="2" xfId="5" applyFill="1" applyBorder="1" applyAlignment="1">
      <alignment horizontal="left"/>
    </xf>
    <xf numFmtId="0" fontId="6" fillId="0" borderId="2" xfId="5" applyAlignment="1">
      <alignment horizontal="left" vertical="center"/>
    </xf>
    <xf numFmtId="0" fontId="6" fillId="0" borderId="53" xfId="5" applyBorder="1" applyAlignment="1">
      <alignment horizontal="left" vertical="center"/>
    </xf>
    <xf numFmtId="0" fontId="5" fillId="12" borderId="38" xfId="5" applyFont="1" applyFill="1" applyBorder="1" applyAlignment="1">
      <alignment horizontal="left"/>
    </xf>
    <xf numFmtId="0" fontId="17" fillId="8" borderId="2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 wrapText="1"/>
    </xf>
    <xf numFmtId="0" fontId="17" fillId="8" borderId="31" xfId="0" applyFont="1" applyFill="1" applyBorder="1" applyAlignment="1">
      <alignment horizontal="center" vertical="center" wrapText="1"/>
    </xf>
    <xf numFmtId="0" fontId="17" fillId="8" borderId="28" xfId="0" applyFont="1" applyFill="1" applyBorder="1" applyAlignment="1">
      <alignment horizontal="center" vertical="center" wrapText="1"/>
    </xf>
    <xf numFmtId="0" fontId="17" fillId="8" borderId="2" xfId="0" applyFont="1" applyFill="1" applyBorder="1" applyAlignment="1">
      <alignment horizontal="center" vertical="center" wrapText="1"/>
    </xf>
    <xf numFmtId="0" fontId="17" fillId="8" borderId="26" xfId="0" applyFont="1" applyFill="1" applyBorder="1" applyAlignment="1">
      <alignment horizontal="center" vertical="center" wrapText="1"/>
    </xf>
    <xf numFmtId="0" fontId="17" fillId="8" borderId="32" xfId="0" applyFont="1" applyFill="1" applyBorder="1" applyAlignment="1">
      <alignment horizontal="center" vertical="center" wrapText="1"/>
    </xf>
    <xf numFmtId="0" fontId="17" fillId="8" borderId="33" xfId="0" applyFont="1" applyFill="1" applyBorder="1" applyAlignment="1">
      <alignment horizontal="center" vertical="center" wrapText="1"/>
    </xf>
    <xf numFmtId="0" fontId="17" fillId="8" borderId="34" xfId="0" applyFont="1" applyFill="1" applyBorder="1" applyAlignment="1">
      <alignment horizontal="center" vertical="center" wrapText="1"/>
    </xf>
    <xf numFmtId="164" fontId="17" fillId="0" borderId="25" xfId="0" applyNumberFormat="1" applyFont="1" applyFill="1" applyBorder="1" applyAlignment="1">
      <alignment horizontal="center" vertical="center" wrapText="1"/>
    </xf>
    <xf numFmtId="164" fontId="17" fillId="0" borderId="26" xfId="0" applyNumberFormat="1" applyFont="1" applyFill="1" applyBorder="1" applyAlignment="1">
      <alignment horizontal="center" vertical="center" wrapText="1"/>
    </xf>
    <xf numFmtId="164" fontId="17" fillId="0" borderId="27" xfId="0" applyNumberFormat="1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/>
    </xf>
    <xf numFmtId="0" fontId="11" fillId="7" borderId="21" xfId="0" applyFont="1" applyFill="1" applyBorder="1" applyAlignment="1">
      <alignment horizontal="center"/>
    </xf>
    <xf numFmtId="16" fontId="15" fillId="6" borderId="22" xfId="0" applyNumberFormat="1" applyFont="1" applyFill="1" applyBorder="1" applyAlignment="1">
      <alignment horizontal="center" vertical="center" wrapText="1"/>
    </xf>
    <xf numFmtId="16" fontId="15" fillId="6" borderId="23" xfId="0" applyNumberFormat="1" applyFont="1" applyFill="1" applyBorder="1" applyAlignment="1">
      <alignment horizontal="center" vertical="center" wrapText="1"/>
    </xf>
    <xf numFmtId="16" fontId="15" fillId="6" borderId="24" xfId="0" applyNumberFormat="1" applyFont="1" applyFill="1" applyBorder="1" applyAlignment="1">
      <alignment horizontal="center" vertical="center" wrapText="1"/>
    </xf>
  </cellXfs>
  <cellStyles count="6">
    <cellStyle name="Estilo 1" xfId="3" xr:uid="{FC852D28-A1AB-45AB-8DBD-524287C3C3ED}"/>
    <cellStyle name="Hiperlink" xfId="4" builtinId="8"/>
    <cellStyle name="Normal" xfId="0" builtinId="0"/>
    <cellStyle name="Normal 2" xfId="5" xr:uid="{80BF5A99-B568-4B8A-B3CF-65832EE423F0}"/>
    <cellStyle name="Porcentagem" xfId="2" builtinId="5"/>
    <cellStyle name="Vírgula" xfId="1" builtinId="3"/>
  </cellStyles>
  <dxfs count="9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B9F5BF"/>
      <color rgb="FFC0F6C5"/>
      <color rgb="FF99FF99"/>
      <color rgb="FF00FF00"/>
      <color rgb="FFFF3399"/>
      <color rgb="FF66CCFF"/>
      <color rgb="FF0066FF"/>
      <color rgb="FF009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33</xdr:row>
      <xdr:rowOff>104775</xdr:rowOff>
    </xdr:from>
    <xdr:to>
      <xdr:col>15</xdr:col>
      <xdr:colOff>371475</xdr:colOff>
      <xdr:row>33</xdr:row>
      <xdr:rowOff>990600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825EE1D-636B-4D47-B775-458AF0063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6772275"/>
          <a:ext cx="8277225" cy="885825"/>
        </a:xfrm>
        <a:prstGeom prst="rect">
          <a:avLst/>
        </a:prstGeom>
        <a:noFill/>
        <a:ln w="25400">
          <a:solidFill>
            <a:srgbClr val="00206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43</xdr:row>
      <xdr:rowOff>0</xdr:rowOff>
    </xdr:from>
    <xdr:to>
      <xdr:col>17</xdr:col>
      <xdr:colOff>243078</xdr:colOff>
      <xdr:row>43</xdr:row>
      <xdr:rowOff>219074</xdr:rowOff>
    </xdr:to>
    <xdr:pic>
      <xdr:nvPicPr>
        <xdr:cNvPr id="3" name="Imagem 2" descr="Cuidado com as promessas de transformações milagrosas | O Jornalzinho">
          <a:extLst>
            <a:ext uri="{FF2B5EF4-FFF2-40B4-BE49-F238E27FC236}">
              <a16:creationId xmlns:a16="http://schemas.microsoft.com/office/drawing/2014/main" id="{3F187358-ADB9-4DF2-A678-321506C9B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9534525"/>
          <a:ext cx="243078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428625</xdr:colOff>
      <xdr:row>43</xdr:row>
      <xdr:rowOff>0</xdr:rowOff>
    </xdr:from>
    <xdr:to>
      <xdr:col>11</xdr:col>
      <xdr:colOff>62103</xdr:colOff>
      <xdr:row>43</xdr:row>
      <xdr:rowOff>219074</xdr:rowOff>
    </xdr:to>
    <xdr:pic>
      <xdr:nvPicPr>
        <xdr:cNvPr id="4" name="Imagem 3" descr="Cuidado com as promessas de transformações milagrosas | O Jornalzinho">
          <a:extLst>
            <a:ext uri="{FF2B5EF4-FFF2-40B4-BE49-F238E27FC236}">
              <a16:creationId xmlns:a16="http://schemas.microsoft.com/office/drawing/2014/main" id="{6AEC6326-A106-4468-934F-33E7AF555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0875" y="9534525"/>
          <a:ext cx="243078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95250</xdr:colOff>
      <xdr:row>11</xdr:row>
      <xdr:rowOff>57150</xdr:rowOff>
    </xdr:from>
    <xdr:to>
      <xdr:col>17</xdr:col>
      <xdr:colOff>577725</xdr:colOff>
      <xdr:row>11</xdr:row>
      <xdr:rowOff>262902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F3517E2-0658-4866-99DC-34088D78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2371725"/>
          <a:ext cx="11160000" cy="205752"/>
        </a:xfrm>
        <a:prstGeom prst="rect">
          <a:avLst/>
        </a:prstGeom>
        <a:ln w="158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85724</xdr:colOff>
      <xdr:row>14</xdr:row>
      <xdr:rowOff>66676</xdr:rowOff>
    </xdr:from>
    <xdr:to>
      <xdr:col>17</xdr:col>
      <xdr:colOff>581024</xdr:colOff>
      <xdr:row>15</xdr:row>
      <xdr:rowOff>95250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BE0EA39C-B397-DE86-5C77-85C640D46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" r="9011" b="-874"/>
        <a:stretch/>
      </xdr:blipFill>
      <xdr:spPr>
        <a:xfrm>
          <a:off x="647699" y="2867026"/>
          <a:ext cx="11172825" cy="219074"/>
        </a:xfrm>
        <a:prstGeom prst="rect">
          <a:avLst/>
        </a:prstGeom>
        <a:ln w="15875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pt.khanacademy.org/teacher/class/K4XFZKN4/individual-student/kaid_1122582505312363876939940/skills?from=assignment-scores" TargetMode="External"/><Relationship Id="rId18" Type="http://schemas.openxmlformats.org/officeDocument/2006/relationships/hyperlink" Target="https://pt.khanacademy.org/teacher/class/K4XFZKN4/individual-student/kaid_320271837047530267818676/skills?from=assignment-scores" TargetMode="External"/><Relationship Id="rId26" Type="http://schemas.openxmlformats.org/officeDocument/2006/relationships/hyperlink" Target="https://pt.khanacademy.org/teacher/class/K4XFZKN4/individual-student/kaid_971229469422328968517909/skills?from=assignment-scores" TargetMode="External"/><Relationship Id="rId39" Type="http://schemas.openxmlformats.org/officeDocument/2006/relationships/hyperlink" Target="https://pt.khanacademy.org/teacher/class/K4XFZKN4/individual-student/kaid_815134760347348399112757/skills?from=assignment-scores" TargetMode="External"/><Relationship Id="rId21" Type="http://schemas.openxmlformats.org/officeDocument/2006/relationships/hyperlink" Target="https://pt.khanacademy.org/teacher/class/K4XFZKN4/individual-student/kaid_394983176817602349160421/skills?from=assignment-scores" TargetMode="External"/><Relationship Id="rId34" Type="http://schemas.openxmlformats.org/officeDocument/2006/relationships/hyperlink" Target="https://pt.khanacademy.org/teacher/class/K4XFZKN4/individual-student/kaid_1200872089182327042652600/skills?from=assignment-scores" TargetMode="External"/><Relationship Id="rId7" Type="http://schemas.openxmlformats.org/officeDocument/2006/relationships/hyperlink" Target="https://pt.khanacademy.org/teacher/class/K4XFZKN4/individual-student/kaid_722806725608440110181543/skills?from=assignment-scores" TargetMode="External"/><Relationship Id="rId2" Type="http://schemas.openxmlformats.org/officeDocument/2006/relationships/hyperlink" Target="https://pt.khanacademy.org/teacher/class/K4XFZKN4/individual-student/kaid_615225427222256568012201/skills?from=assignment-scores" TargetMode="External"/><Relationship Id="rId16" Type="http://schemas.openxmlformats.org/officeDocument/2006/relationships/hyperlink" Target="https://pt.khanacademy.org/teacher/class/K4XFZKN4/individual-student/kaid_1098148262191934193917459/skills?from=assignment-scores" TargetMode="External"/><Relationship Id="rId20" Type="http://schemas.openxmlformats.org/officeDocument/2006/relationships/hyperlink" Target="https://pt.khanacademy.org/teacher/class/K4XFZKN4/individual-student/kaid_1034285066244113527175951/skills?from=assignment-scores" TargetMode="External"/><Relationship Id="rId29" Type="http://schemas.openxmlformats.org/officeDocument/2006/relationships/hyperlink" Target="https://pt.khanacademy.org/teacher/class/K4XFZKN4/individual-student/kaid_477363970821864359576447/skills?from=assignment-scores" TargetMode="External"/><Relationship Id="rId41" Type="http://schemas.openxmlformats.org/officeDocument/2006/relationships/printerSettings" Target="../printerSettings/printerSettings3.bin"/><Relationship Id="rId1" Type="http://schemas.openxmlformats.org/officeDocument/2006/relationships/hyperlink" Target="https://pt.khanacademy.org/teacher/class/K4XFZKN4/individual-student/kaid_1123194222109455659475590/skills?from=assignment-scores" TargetMode="External"/><Relationship Id="rId6" Type="http://schemas.openxmlformats.org/officeDocument/2006/relationships/hyperlink" Target="https://pt.khanacademy.org/teacher/class/K4XFZKN4/individual-student/kaid_874904897828534255225903/skills?from=assignment-scores" TargetMode="External"/><Relationship Id="rId11" Type="http://schemas.openxmlformats.org/officeDocument/2006/relationships/hyperlink" Target="https://pt.khanacademy.org/teacher/class/K4XFZKN4/individual-student/kaid_87756263816918842680719/skills?from=assignment-scores" TargetMode="External"/><Relationship Id="rId24" Type="http://schemas.openxmlformats.org/officeDocument/2006/relationships/hyperlink" Target="https://pt.khanacademy.org/teacher/class/K4XFZKN4/individual-student/kaid_708022212563808257308436/skills?from=assignment-scores" TargetMode="External"/><Relationship Id="rId32" Type="http://schemas.openxmlformats.org/officeDocument/2006/relationships/hyperlink" Target="https://pt.khanacademy.org/teacher/class/K4XFZKN4/individual-student/kaid_56893605019384880352894/skills?from=assignment-scores" TargetMode="External"/><Relationship Id="rId37" Type="http://schemas.openxmlformats.org/officeDocument/2006/relationships/hyperlink" Target="https://pt.khanacademy.org/teacher/class/K4XFZKN4/individual-student/kaid_90573239421099667310600/skills?from=assignment-scores" TargetMode="External"/><Relationship Id="rId40" Type="http://schemas.openxmlformats.org/officeDocument/2006/relationships/hyperlink" Target="https://pt.khanacademy.org/teacher/class/K4XFZKN4/individual-student/kaid_669439976000471532956963/skills?from=assignment-scores" TargetMode="External"/><Relationship Id="rId5" Type="http://schemas.openxmlformats.org/officeDocument/2006/relationships/hyperlink" Target="https://pt.khanacademy.org/teacher/class/K4XFZKN4/individual-student/kaid_552467484628956881987460/skills?from=assignment-scores" TargetMode="External"/><Relationship Id="rId15" Type="http://schemas.openxmlformats.org/officeDocument/2006/relationships/hyperlink" Target="https://pt.khanacademy.org/teacher/class/K4XFZKN4/individual-student/kaid_959309140938899927694190/skills?from=assignment-scores" TargetMode="External"/><Relationship Id="rId23" Type="http://schemas.openxmlformats.org/officeDocument/2006/relationships/hyperlink" Target="https://pt.khanacademy.org/teacher/class/K4XFZKN4/individual-student/kaid_155093729209162396536542/skills?from=assignment-scores" TargetMode="External"/><Relationship Id="rId28" Type="http://schemas.openxmlformats.org/officeDocument/2006/relationships/hyperlink" Target="https://pt.khanacademy.org/teacher/class/K4XFZKN4/individual-student/kaid_201525507292921248370325/skills?from=assignment-scores" TargetMode="External"/><Relationship Id="rId36" Type="http://schemas.openxmlformats.org/officeDocument/2006/relationships/hyperlink" Target="https://pt.khanacademy.org/teacher/class/K4XFZKN4/individual-student/kaid_406437948259842047029710/skills?from=assignment-scores" TargetMode="External"/><Relationship Id="rId10" Type="http://schemas.openxmlformats.org/officeDocument/2006/relationships/hyperlink" Target="https://pt.khanacademy.org/teacher/class/K4XFZKN4/individual-student/kaid_775659133076755604686287/skills?from=assignment-scores" TargetMode="External"/><Relationship Id="rId19" Type="http://schemas.openxmlformats.org/officeDocument/2006/relationships/hyperlink" Target="https://pt.khanacademy.org/teacher/class/K4XFZKN4/individual-student/kaid_684908622247165910599871/skills?from=assignment-scores" TargetMode="External"/><Relationship Id="rId31" Type="http://schemas.openxmlformats.org/officeDocument/2006/relationships/hyperlink" Target="https://pt.khanacademy.org/teacher/class/K4XFZKN4/individual-student/kaid_1171982650177813546093446/skills?from=assignment-scores" TargetMode="External"/><Relationship Id="rId4" Type="http://schemas.openxmlformats.org/officeDocument/2006/relationships/hyperlink" Target="https://pt.khanacademy.org/teacher/class/K4XFZKN4/individual-student/kaid_1150936340002462205610468/skills?from=assignment-scores" TargetMode="External"/><Relationship Id="rId9" Type="http://schemas.openxmlformats.org/officeDocument/2006/relationships/hyperlink" Target="https://pt.khanacademy.org/teacher/class/K4XFZKN4/individual-student/kaid_1142953360644706152981442/skills?from=assignment-scores" TargetMode="External"/><Relationship Id="rId14" Type="http://schemas.openxmlformats.org/officeDocument/2006/relationships/hyperlink" Target="https://pt.khanacademy.org/teacher/class/K4XFZKN4/individual-student/kaid_1104950376987521388331958/skills?from=assignment-scores" TargetMode="External"/><Relationship Id="rId22" Type="http://schemas.openxmlformats.org/officeDocument/2006/relationships/hyperlink" Target="https://pt.khanacademy.org/teacher/class/K4XFZKN4/individual-student/kaid_1136652071161722439381671/skills?from=assignment-scores" TargetMode="External"/><Relationship Id="rId27" Type="http://schemas.openxmlformats.org/officeDocument/2006/relationships/hyperlink" Target="https://pt.khanacademy.org/teacher/class/K4XFZKN4/individual-student/kaid_54360088420165497075155/skills?from=assignment-scores" TargetMode="External"/><Relationship Id="rId30" Type="http://schemas.openxmlformats.org/officeDocument/2006/relationships/hyperlink" Target="https://pt.khanacademy.org/teacher/class/K4XFZKN4/individual-student/kaid_297190814446824891199048/skills?from=assignment-scores" TargetMode="External"/><Relationship Id="rId35" Type="http://schemas.openxmlformats.org/officeDocument/2006/relationships/hyperlink" Target="https://pt.khanacademy.org/teacher/class/K4XFZKN4/individual-student/kaid_296961134030859715292776/skills?from=assignment-scores" TargetMode="External"/><Relationship Id="rId8" Type="http://schemas.openxmlformats.org/officeDocument/2006/relationships/hyperlink" Target="https://pt.khanacademy.org/teacher/class/K4XFZKN4/individual-student/kaid_1140518270059240307435194/skills?from=assignment-scores" TargetMode="External"/><Relationship Id="rId3" Type="http://schemas.openxmlformats.org/officeDocument/2006/relationships/hyperlink" Target="https://pt.khanacademy.org/teacher/class/K4XFZKN4/individual-student/kaid_642314254893549180893283/skills?from=assignment-scores" TargetMode="External"/><Relationship Id="rId12" Type="http://schemas.openxmlformats.org/officeDocument/2006/relationships/hyperlink" Target="https://pt.khanacademy.org/teacher/class/K4XFZKN4/individual-student/kaid_483926493894170324219374/skills?from=assignment-scores" TargetMode="External"/><Relationship Id="rId17" Type="http://schemas.openxmlformats.org/officeDocument/2006/relationships/hyperlink" Target="https://pt.khanacademy.org/teacher/class/K4XFZKN4/individual-student/kaid_630748101793965208599898/skills?from=assignment-scores" TargetMode="External"/><Relationship Id="rId25" Type="http://schemas.openxmlformats.org/officeDocument/2006/relationships/hyperlink" Target="https://pt.khanacademy.org/teacher/class/K4XFZKN4/individual-student/kaid_348260450567630449793442/skills?from=assignment-scores" TargetMode="External"/><Relationship Id="rId33" Type="http://schemas.openxmlformats.org/officeDocument/2006/relationships/hyperlink" Target="https://pt.khanacademy.org/teacher/class/K4XFZKN4/individual-student/kaid_879386105810339307371582/skills?from=assignment-scores" TargetMode="External"/><Relationship Id="rId38" Type="http://schemas.openxmlformats.org/officeDocument/2006/relationships/hyperlink" Target="https://pt.khanacademy.org/teacher/class/K4XFZKN4/individual-student/kaid_982823967740574044965284/skills?from=assignment-score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1E732-9A41-44DF-9D7F-98EA1F37A0D9}">
  <sheetPr codeName="Planilha13">
    <tabColor rgb="FF00B050"/>
  </sheetPr>
  <dimension ref="A1:AO135"/>
  <sheetViews>
    <sheetView tabSelected="1" workbookViewId="0">
      <selection activeCell="B28" sqref="B28:R28"/>
    </sheetView>
  </sheetViews>
  <sheetFormatPr defaultRowHeight="15" x14ac:dyDescent="0.25"/>
  <cols>
    <col min="1" max="1" width="8.42578125" style="31" customWidth="1"/>
    <col min="2" max="9" width="10.140625" style="31" customWidth="1"/>
    <col min="10" max="10" width="9" style="31" customWidth="1"/>
    <col min="11" max="11" width="9.140625" style="31" customWidth="1"/>
    <col min="12" max="18" width="10.140625" style="31" customWidth="1"/>
    <col min="19" max="16384" width="9.140625" style="31"/>
  </cols>
  <sheetData>
    <row r="1" spans="1:37" ht="15.75" thickBot="1" x14ac:dyDescent="0.3">
      <c r="A1" s="28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</row>
    <row r="2" spans="1:37" x14ac:dyDescent="0.25">
      <c r="A2" s="32"/>
      <c r="B2" s="163" t="s">
        <v>10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5"/>
      <c r="S2" s="33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</row>
    <row r="3" spans="1:37" x14ac:dyDescent="0.25">
      <c r="A3" s="32"/>
      <c r="B3" s="67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66"/>
      <c r="R3" s="167"/>
      <c r="S3" s="33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</row>
    <row r="4" spans="1:37" s="35" customFormat="1" ht="15" customHeight="1" x14ac:dyDescent="0.25">
      <c r="A4" s="34"/>
      <c r="B4" s="168" t="s">
        <v>11</v>
      </c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7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</row>
    <row r="5" spans="1:37" s="35" customFormat="1" ht="15" customHeight="1" x14ac:dyDescent="0.25">
      <c r="A5" s="34"/>
      <c r="B5" s="171" t="s">
        <v>12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3"/>
      <c r="S5" s="33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</row>
    <row r="6" spans="1:37" x14ac:dyDescent="0.25">
      <c r="A6" s="32"/>
      <c r="B6" s="168" t="s">
        <v>13</v>
      </c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70"/>
      <c r="S6" s="33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</row>
    <row r="7" spans="1:37" x14ac:dyDescent="0.25">
      <c r="A7" s="32"/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166"/>
      <c r="O7" s="166"/>
      <c r="P7" s="166"/>
      <c r="Q7" s="166"/>
      <c r="R7" s="167"/>
      <c r="S7" s="33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</row>
    <row r="8" spans="1:37" ht="15.75" thickBot="1" x14ac:dyDescent="0.3">
      <c r="A8" s="32"/>
      <c r="B8" s="174" t="s">
        <v>14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6"/>
      <c r="S8" s="33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</row>
    <row r="9" spans="1:37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</row>
    <row r="10" spans="1:37" ht="15.75" thickBot="1" x14ac:dyDescent="0.3">
      <c r="A10" s="30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33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</row>
    <row r="11" spans="1:37" x14ac:dyDescent="0.25">
      <c r="A11" s="30"/>
      <c r="B11" s="163" t="s">
        <v>27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5"/>
      <c r="S11" s="33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</row>
    <row r="12" spans="1:37" ht="23.25" customHeight="1" x14ac:dyDescent="0.25">
      <c r="A12" s="30"/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166"/>
      <c r="R12" s="167"/>
      <c r="S12" s="33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spans="1:37" ht="15" customHeight="1" x14ac:dyDescent="0.25">
      <c r="A13" s="30"/>
      <c r="B13" s="189" t="s">
        <v>30</v>
      </c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3"/>
      <c r="S13" s="33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</row>
    <row r="14" spans="1:37" x14ac:dyDescent="0.25">
      <c r="A14" s="30"/>
      <c r="B14" s="171" t="s">
        <v>28</v>
      </c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3"/>
      <c r="S14" s="33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</row>
    <row r="15" spans="1:37" x14ac:dyDescent="0.25">
      <c r="A15" s="30"/>
      <c r="B15" s="168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70"/>
      <c r="S15" s="33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</row>
    <row r="16" spans="1:37" ht="12.75" customHeight="1" x14ac:dyDescent="0.25">
      <c r="A16" s="30"/>
      <c r="B16" s="17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73"/>
      <c r="S16" s="33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</row>
    <row r="17" spans="1:41" ht="15" customHeight="1" thickBot="1" x14ac:dyDescent="0.3">
      <c r="A17" s="30"/>
      <c r="B17" s="183" t="s">
        <v>29</v>
      </c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5"/>
      <c r="S17" s="33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15.75" customHeight="1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3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15.75" thickBot="1" x14ac:dyDescent="0.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3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18.75" x14ac:dyDescent="0.25">
      <c r="A20" s="30"/>
      <c r="B20" s="139" t="s">
        <v>6</v>
      </c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1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x14ac:dyDescent="0.25">
      <c r="A21" s="30"/>
      <c r="B21" s="37"/>
      <c r="C21" s="29"/>
      <c r="D21" s="29"/>
      <c r="E21" s="29"/>
      <c r="F21" s="29"/>
      <c r="G21" s="29"/>
      <c r="H21" s="29"/>
      <c r="I21" s="29"/>
      <c r="J21" s="29"/>
      <c r="K21" s="29"/>
      <c r="L21" s="177"/>
      <c r="M21" s="178"/>
      <c r="N21" s="178"/>
      <c r="O21" s="178"/>
      <c r="P21" s="178"/>
      <c r="Q21" s="179"/>
      <c r="R21" s="38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1:41" x14ac:dyDescent="0.25">
      <c r="A22" s="30"/>
      <c r="B22" s="180" t="s">
        <v>72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2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x14ac:dyDescent="0.25">
      <c r="A23" s="30"/>
      <c r="B23" s="115" t="s">
        <v>104</v>
      </c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8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x14ac:dyDescent="0.25">
      <c r="A24" s="30"/>
      <c r="B24" s="112" t="s">
        <v>105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4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1:41" x14ac:dyDescent="0.25">
      <c r="A25" s="30"/>
      <c r="B25" s="115" t="s">
        <v>106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7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31.5" customHeight="1" x14ac:dyDescent="0.25">
      <c r="A26" s="30"/>
      <c r="B26" s="118" t="s">
        <v>117</v>
      </c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2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1:41" x14ac:dyDescent="0.25">
      <c r="A27" s="30"/>
      <c r="B27" s="145" t="s">
        <v>107</v>
      </c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7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1:41" ht="31.5" customHeight="1" x14ac:dyDescent="0.25">
      <c r="A28" s="30"/>
      <c r="B28" s="148" t="s">
        <v>108</v>
      </c>
      <c r="C28" s="149"/>
      <c r="D28" s="149"/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5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1:41" x14ac:dyDescent="0.25">
      <c r="A29" s="30"/>
      <c r="B29" s="151" t="s">
        <v>109</v>
      </c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3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41" x14ac:dyDescent="0.25">
      <c r="A30" s="30"/>
      <c r="B30" s="148" t="s">
        <v>110</v>
      </c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5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41" x14ac:dyDescent="0.25">
      <c r="A31" s="30"/>
      <c r="B31" s="154" t="s">
        <v>111</v>
      </c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6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41" x14ac:dyDescent="0.25">
      <c r="A32" s="30"/>
      <c r="B32" s="157" t="s">
        <v>112</v>
      </c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x14ac:dyDescent="0.25">
      <c r="A33" s="30"/>
      <c r="B33" s="154" t="s">
        <v>113</v>
      </c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6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1:41" ht="83.25" customHeight="1" x14ac:dyDescent="0.25">
      <c r="A34" s="30"/>
      <c r="B34" s="39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1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1:41" x14ac:dyDescent="0.25">
      <c r="A35" s="30"/>
      <c r="B35" s="157" t="s">
        <v>114</v>
      </c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1:41" x14ac:dyDescent="0.25">
      <c r="A36" s="30"/>
      <c r="B36" s="151" t="s">
        <v>115</v>
      </c>
      <c r="C36" s="152"/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  <c r="R36" s="153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</row>
    <row r="37" spans="1:41" ht="15.75" thickBot="1" x14ac:dyDescent="0.3">
      <c r="A37" s="30"/>
      <c r="B37" s="160" t="s">
        <v>116</v>
      </c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2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</row>
    <row r="38" spans="1:41" ht="15.75" thickBot="1" x14ac:dyDescent="0.3">
      <c r="A38" s="30"/>
      <c r="B38" s="36"/>
      <c r="C38" s="36"/>
      <c r="D38" s="36"/>
      <c r="E38" s="36"/>
      <c r="F38" s="36"/>
      <c r="G38" s="36"/>
      <c r="H38" s="36"/>
      <c r="I38" s="36"/>
      <c r="J38" s="42"/>
      <c r="K38" s="42"/>
      <c r="L38" s="42"/>
      <c r="M38" s="42"/>
      <c r="N38" s="42"/>
      <c r="O38" s="42"/>
      <c r="P38" s="42"/>
      <c r="Q38" s="42"/>
      <c r="R38" s="42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</row>
    <row r="39" spans="1:41" ht="19.5" thickBot="1" x14ac:dyDescent="0.3">
      <c r="A39" s="30"/>
      <c r="B39" s="139" t="s">
        <v>17</v>
      </c>
      <c r="C39" s="140"/>
      <c r="D39" s="140"/>
      <c r="E39" s="140"/>
      <c r="F39" s="140"/>
      <c r="G39" s="140"/>
      <c r="H39" s="140"/>
      <c r="I39" s="140"/>
      <c r="J39" s="43"/>
      <c r="K39" s="139" t="s">
        <v>31</v>
      </c>
      <c r="L39" s="140"/>
      <c r="M39" s="140"/>
      <c r="N39" s="140"/>
      <c r="O39" s="140"/>
      <c r="P39" s="140"/>
      <c r="Q39" s="140"/>
      <c r="R39" s="141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</row>
    <row r="40" spans="1:41" x14ac:dyDescent="0.25">
      <c r="A40" s="30"/>
      <c r="B40" s="121" t="s">
        <v>18</v>
      </c>
      <c r="C40" s="122"/>
      <c r="D40" s="122"/>
      <c r="E40" s="122"/>
      <c r="F40" s="122"/>
      <c r="G40" s="122"/>
      <c r="H40" s="122"/>
      <c r="I40" s="123"/>
      <c r="J40" s="30"/>
      <c r="K40" s="130" t="s">
        <v>19</v>
      </c>
      <c r="L40" s="131"/>
      <c r="M40" s="131"/>
      <c r="N40" s="131"/>
      <c r="O40" s="131"/>
      <c r="P40" s="131"/>
      <c r="Q40" s="131"/>
      <c r="R40" s="132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</row>
    <row r="41" spans="1:41" x14ac:dyDescent="0.25">
      <c r="A41" s="30"/>
      <c r="B41" s="124"/>
      <c r="C41" s="125"/>
      <c r="D41" s="125"/>
      <c r="E41" s="125"/>
      <c r="F41" s="125"/>
      <c r="G41" s="125"/>
      <c r="H41" s="125"/>
      <c r="I41" s="126"/>
      <c r="J41" s="30"/>
      <c r="K41" s="133"/>
      <c r="L41" s="134"/>
      <c r="M41" s="134"/>
      <c r="N41" s="134"/>
      <c r="O41" s="134"/>
      <c r="P41" s="134"/>
      <c r="Q41" s="134"/>
      <c r="R41" s="135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</row>
    <row r="42" spans="1:41" ht="15.75" thickBot="1" x14ac:dyDescent="0.3">
      <c r="A42" s="30"/>
      <c r="B42" s="127"/>
      <c r="C42" s="128"/>
      <c r="D42" s="128"/>
      <c r="E42" s="128"/>
      <c r="F42" s="128"/>
      <c r="G42" s="128"/>
      <c r="H42" s="128"/>
      <c r="I42" s="129"/>
      <c r="J42" s="30"/>
      <c r="K42" s="136"/>
      <c r="L42" s="137"/>
      <c r="M42" s="137"/>
      <c r="N42" s="137"/>
      <c r="O42" s="137"/>
      <c r="P42" s="137"/>
      <c r="Q42" s="137"/>
      <c r="R42" s="138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</row>
    <row r="43" spans="1:41" ht="15.75" thickBot="1" x14ac:dyDescent="0.3">
      <c r="A43" s="30"/>
      <c r="B43" s="42"/>
      <c r="C43" s="42"/>
      <c r="D43" s="42"/>
      <c r="E43" s="42"/>
      <c r="F43" s="42"/>
      <c r="G43" s="42"/>
      <c r="H43" s="42"/>
      <c r="I43" s="42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</row>
    <row r="44" spans="1:41" ht="19.5" thickBot="1" x14ac:dyDescent="0.3">
      <c r="A44" s="30"/>
      <c r="B44" s="139" t="s">
        <v>20</v>
      </c>
      <c r="C44" s="140"/>
      <c r="D44" s="140"/>
      <c r="E44" s="140"/>
      <c r="F44" s="140"/>
      <c r="G44" s="140"/>
      <c r="H44" s="140"/>
      <c r="I44" s="141"/>
      <c r="J44" s="44"/>
      <c r="K44" s="142" t="s">
        <v>21</v>
      </c>
      <c r="L44" s="143"/>
      <c r="M44" s="143"/>
      <c r="N44" s="143"/>
      <c r="O44" s="143"/>
      <c r="P44" s="143"/>
      <c r="Q44" s="143"/>
      <c r="R44" s="144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</row>
    <row r="45" spans="1:41" x14ac:dyDescent="0.25">
      <c r="A45" s="30"/>
      <c r="B45" s="97" t="s">
        <v>71</v>
      </c>
      <c r="C45" s="98"/>
      <c r="D45" s="98"/>
      <c r="E45" s="98"/>
      <c r="F45" s="98"/>
      <c r="G45" s="98"/>
      <c r="H45" s="98"/>
      <c r="I45" s="99"/>
      <c r="J45" s="44"/>
      <c r="K45" s="106" t="s">
        <v>22</v>
      </c>
      <c r="L45" s="107"/>
      <c r="M45" s="107"/>
      <c r="N45" s="107"/>
      <c r="O45" s="107"/>
      <c r="P45" s="107"/>
      <c r="Q45" s="107"/>
      <c r="R45" s="108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</row>
    <row r="46" spans="1:41" x14ac:dyDescent="0.25">
      <c r="A46" s="30"/>
      <c r="B46" s="100"/>
      <c r="C46" s="101"/>
      <c r="D46" s="101"/>
      <c r="E46" s="101"/>
      <c r="F46" s="101"/>
      <c r="G46" s="101"/>
      <c r="H46" s="101"/>
      <c r="I46" s="102"/>
      <c r="J46" s="44"/>
      <c r="K46" s="106" t="s">
        <v>23</v>
      </c>
      <c r="L46" s="107"/>
      <c r="M46" s="107"/>
      <c r="N46" s="107"/>
      <c r="O46" s="107"/>
      <c r="P46" s="107"/>
      <c r="Q46" s="107"/>
      <c r="R46" s="108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</row>
    <row r="47" spans="1:41" ht="31.5" customHeight="1" thickBot="1" x14ac:dyDescent="0.3">
      <c r="A47" s="30"/>
      <c r="B47" s="103"/>
      <c r="C47" s="104"/>
      <c r="D47" s="104"/>
      <c r="E47" s="104"/>
      <c r="F47" s="104"/>
      <c r="G47" s="104"/>
      <c r="H47" s="104"/>
      <c r="I47" s="105"/>
      <c r="J47" s="44"/>
      <c r="K47" s="109" t="s">
        <v>73</v>
      </c>
      <c r="L47" s="110"/>
      <c r="M47" s="110"/>
      <c r="N47" s="110"/>
      <c r="O47" s="110"/>
      <c r="P47" s="110"/>
      <c r="Q47" s="110"/>
      <c r="R47" s="111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</row>
    <row r="48" spans="1:41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</row>
    <row r="49" spans="1:41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</row>
    <row r="50" spans="1:4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</row>
    <row r="51" spans="1:41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</row>
    <row r="52" spans="1:41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1:41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1:41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1:41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1:41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1:4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1:4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1:4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1:4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1:4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1:4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1:4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1:4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1:4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1:4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1:41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1:41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1:4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1:41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1:41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1:41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1:41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1:41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1:41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1:41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1:41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1:41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1:41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1:41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1:41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1:41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1:41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1:41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1:41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1:41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1:41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1:41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1:41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1:41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1:41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1:41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1:41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1:41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1:41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1:41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1:41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1:41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1:41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1:41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1:41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1:41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1:41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1:41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1:41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1:41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1:41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1:41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1:41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1:41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1:41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1:41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1:41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1:41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1:41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1:41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1:41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1:41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1:41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1:41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1:41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1:41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1:41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1:41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1:41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1:41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1:41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1:41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1:41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1:41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1:41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1:41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1:41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1:41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1:41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</sheetData>
  <sheetProtection algorithmName="SHA-512" hashValue="MuKgkscTs1Dy7lTyOJ637NGT1N6StoVLPe9leo/VtHW4676PC04CMMXNCUfbOKzAz95Df7R0lOUTrQjXSDatHA==" saltValue="pYdt6UOqDTr//S3qWRwqDg==" spinCount="100000" sheet="1" selectLockedCells="1" selectUnlockedCells="1"/>
  <mergeCells count="41">
    <mergeCell ref="B11:R11"/>
    <mergeCell ref="Q12:R12"/>
    <mergeCell ref="B13:R13"/>
    <mergeCell ref="B14:R14"/>
    <mergeCell ref="B36:R36"/>
    <mergeCell ref="B37:R37"/>
    <mergeCell ref="B2:R2"/>
    <mergeCell ref="Q3:R3"/>
    <mergeCell ref="B4:R4"/>
    <mergeCell ref="B5:R5"/>
    <mergeCell ref="B6:R6"/>
    <mergeCell ref="N7:R7"/>
    <mergeCell ref="B8:R8"/>
    <mergeCell ref="B20:R20"/>
    <mergeCell ref="L21:Q21"/>
    <mergeCell ref="B22:R22"/>
    <mergeCell ref="B15:R15"/>
    <mergeCell ref="B17:R17"/>
    <mergeCell ref="B16:R16"/>
    <mergeCell ref="B23:R23"/>
    <mergeCell ref="B30:R30"/>
    <mergeCell ref="B31:R31"/>
    <mergeCell ref="B32:R32"/>
    <mergeCell ref="B33:R33"/>
    <mergeCell ref="B35:R35"/>
    <mergeCell ref="B45:I47"/>
    <mergeCell ref="K45:R45"/>
    <mergeCell ref="K46:R46"/>
    <mergeCell ref="K47:R47"/>
    <mergeCell ref="B24:R24"/>
    <mergeCell ref="B25:R25"/>
    <mergeCell ref="B26:R26"/>
    <mergeCell ref="B40:I42"/>
    <mergeCell ref="K40:R42"/>
    <mergeCell ref="B44:I44"/>
    <mergeCell ref="K44:R44"/>
    <mergeCell ref="B39:I39"/>
    <mergeCell ref="K39:R39"/>
    <mergeCell ref="B27:R27"/>
    <mergeCell ref="B28:R28"/>
    <mergeCell ref="B29:R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22079-C7A3-4C5E-8653-0C8BC67A62E0}">
  <dimension ref="C1"/>
  <sheetViews>
    <sheetView workbookViewId="0"/>
  </sheetViews>
  <sheetFormatPr defaultRowHeight="15" x14ac:dyDescent="0.25"/>
  <cols>
    <col min="3" max="3" width="34.42578125" style="70" bestFit="1" customWidth="1"/>
    <col min="4" max="4" width="11.57031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E7BB8-E475-4776-8976-A9BED66FD4E2}">
  <sheetPr codeName="Planilha1">
    <tabColor rgb="FF7030A0"/>
  </sheetPr>
  <dimension ref="A1:CA52"/>
  <sheetViews>
    <sheetView workbookViewId="0">
      <selection activeCell="C6" sqref="C6"/>
    </sheetView>
  </sheetViews>
  <sheetFormatPr defaultRowHeight="15" x14ac:dyDescent="0.25"/>
  <sheetData>
    <row r="1" spans="1:7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</row>
    <row r="2" spans="1:7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</row>
    <row r="3" spans="1:7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</row>
    <row r="4" spans="1:7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</row>
    <row r="5" spans="1:7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</row>
    <row r="6" spans="1:7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</row>
    <row r="7" spans="1:7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</row>
    <row r="8" spans="1:7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</row>
    <row r="9" spans="1:79" ht="15.75" thickBot="1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</row>
    <row r="10" spans="1:79" ht="15.75" thickTop="1" x14ac:dyDescent="0.25">
      <c r="A10" s="14"/>
      <c r="B10" s="14"/>
      <c r="C10" s="14"/>
      <c r="D10" s="14"/>
      <c r="E10" s="14"/>
      <c r="F10" s="14"/>
      <c r="G10" s="14"/>
      <c r="H10" s="190" t="s">
        <v>8</v>
      </c>
      <c r="I10" s="191"/>
      <c r="J10" s="191"/>
      <c r="K10" s="192"/>
      <c r="L10" s="199">
        <v>2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</row>
    <row r="11" spans="1:79" x14ac:dyDescent="0.25">
      <c r="A11" s="14"/>
      <c r="B11" s="14"/>
      <c r="C11" s="14"/>
      <c r="D11" s="14"/>
      <c r="E11" s="14"/>
      <c r="F11" s="14"/>
      <c r="G11" s="14"/>
      <c r="H11" s="193"/>
      <c r="I11" s="194"/>
      <c r="J11" s="194"/>
      <c r="K11" s="195"/>
      <c r="L11" s="200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</row>
    <row r="12" spans="1:79" ht="15.75" thickBot="1" x14ac:dyDescent="0.3">
      <c r="A12" s="14"/>
      <c r="B12" s="14"/>
      <c r="C12" s="14"/>
      <c r="D12" s="14"/>
      <c r="E12" s="14"/>
      <c r="F12" s="14"/>
      <c r="G12" s="14"/>
      <c r="H12" s="196"/>
      <c r="I12" s="197"/>
      <c r="J12" s="197"/>
      <c r="K12" s="198"/>
      <c r="L12" s="201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</row>
    <row r="13" spans="1:79" ht="15.75" thickTop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79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7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79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x14ac:dyDescent="0.25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x14ac:dyDescent="0.25">
      <c r="A52" s="14"/>
      <c r="B52" s="14"/>
      <c r="C52" s="14"/>
      <c r="D52" s="14"/>
      <c r="E52" s="14"/>
      <c r="F52" s="14"/>
      <c r="G52" s="14"/>
    </row>
  </sheetData>
  <mergeCells count="2">
    <mergeCell ref="H10:K12"/>
    <mergeCell ref="L10:L1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D370-05E9-4677-8E93-785527000F27}">
  <sheetPr codeName="Planilha11">
    <tabColor rgb="FFFF0000"/>
  </sheetPr>
  <dimension ref="A1:AT70"/>
  <sheetViews>
    <sheetView workbookViewId="0"/>
  </sheetViews>
  <sheetFormatPr defaultRowHeight="15" x14ac:dyDescent="0.25"/>
  <cols>
    <col min="1" max="1" width="38" customWidth="1"/>
    <col min="10" max="10" width="19" bestFit="1" customWidth="1"/>
  </cols>
  <sheetData>
    <row r="1" spans="1:46" ht="25.15" customHeight="1" x14ac:dyDescent="0.25">
      <c r="A1" s="4" t="s">
        <v>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</row>
    <row r="2" spans="1:46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</row>
    <row r="3" spans="1:46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</row>
    <row r="4" spans="1:46" x14ac:dyDescent="0.2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</row>
    <row r="5" spans="1:46" x14ac:dyDescent="0.25"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</row>
    <row r="6" spans="1:46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</row>
    <row r="7" spans="1:46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</row>
    <row r="8" spans="1:46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</row>
    <row r="9" spans="1:46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</row>
    <row r="10" spans="1:46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</row>
    <row r="11" spans="1:46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</row>
    <row r="12" spans="1:46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</row>
    <row r="13" spans="1:46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</row>
    <row r="14" spans="1:46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</row>
    <row r="15" spans="1:46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</row>
    <row r="16" spans="1:46" x14ac:dyDescent="0.25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</row>
    <row r="17" spans="2:46" x14ac:dyDescent="0.25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</row>
    <row r="18" spans="2:46" x14ac:dyDescent="0.25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</row>
    <row r="19" spans="2:46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</row>
    <row r="20" spans="2:46" x14ac:dyDescent="0.25"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</row>
    <row r="21" spans="2:46" x14ac:dyDescent="0.25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</row>
    <row r="22" spans="2:46" x14ac:dyDescent="0.25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</row>
    <row r="23" spans="2:46" x14ac:dyDescent="0.25"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</row>
    <row r="24" spans="2:46" x14ac:dyDescent="0.25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</row>
    <row r="25" spans="2:46" x14ac:dyDescent="0.25"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</row>
    <row r="26" spans="2:46" x14ac:dyDescent="0.25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</row>
    <row r="27" spans="2:46" x14ac:dyDescent="0.25"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</row>
    <row r="28" spans="2:46" x14ac:dyDescent="0.25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</row>
    <row r="29" spans="2:46" x14ac:dyDescent="0.25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</row>
    <row r="30" spans="2:46" x14ac:dyDescent="0.25"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</row>
    <row r="31" spans="2:46" x14ac:dyDescent="0.25"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</row>
    <row r="32" spans="2:46" x14ac:dyDescent="0.25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</row>
    <row r="33" spans="1:46" x14ac:dyDescent="0.25"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</row>
    <row r="34" spans="1:46" x14ac:dyDescent="0.25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</row>
    <row r="35" spans="1:46" x14ac:dyDescent="0.25"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</row>
    <row r="36" spans="1:46" x14ac:dyDescent="0.25"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</row>
    <row r="37" spans="1:46" x14ac:dyDescent="0.25"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</row>
    <row r="38" spans="1:46" x14ac:dyDescent="0.25"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</row>
    <row r="39" spans="1:46" x14ac:dyDescent="0.25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</row>
    <row r="40" spans="1:46" x14ac:dyDescent="0.25"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</row>
    <row r="41" spans="1:46" x14ac:dyDescent="0.25"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</row>
    <row r="42" spans="1:46" ht="18.75" x14ac:dyDescent="0.3">
      <c r="A42" s="5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</row>
    <row r="43" spans="1:46" ht="18.75" x14ac:dyDescent="0.3">
      <c r="A43" s="5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</row>
    <row r="44" spans="1:46" ht="18.75" x14ac:dyDescent="0.3">
      <c r="A44" s="5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</row>
    <row r="45" spans="1:46" ht="18.75" x14ac:dyDescent="0.3">
      <c r="A45" s="5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</row>
    <row r="46" spans="1:46" ht="18.75" x14ac:dyDescent="0.3">
      <c r="A46" s="5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</row>
    <row r="47" spans="1:46" ht="18.75" x14ac:dyDescent="0.3">
      <c r="A47" s="5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</row>
    <row r="48" spans="1:46" ht="18.75" x14ac:dyDescent="0.3">
      <c r="A48" s="5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</row>
    <row r="49" spans="1:46" ht="18.75" x14ac:dyDescent="0.3">
      <c r="A49" s="5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</row>
    <row r="50" spans="1:46" ht="18.75" x14ac:dyDescent="0.3">
      <c r="A50" s="5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</row>
    <row r="51" spans="1:46" ht="18.75" x14ac:dyDescent="0.3">
      <c r="A51" s="5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</row>
    <row r="52" spans="1:46" ht="18.75" x14ac:dyDescent="0.3">
      <c r="A52" s="5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</row>
    <row r="53" spans="1:46" ht="18.75" x14ac:dyDescent="0.3">
      <c r="A53" s="5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</row>
    <row r="54" spans="1:46" ht="18.75" x14ac:dyDescent="0.3">
      <c r="A54" s="5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</row>
    <row r="55" spans="1:46" ht="18.75" x14ac:dyDescent="0.3">
      <c r="A55" s="5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</row>
    <row r="56" spans="1:46" ht="18.75" x14ac:dyDescent="0.3">
      <c r="A56" s="5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</row>
    <row r="57" spans="1:46" ht="18.75" x14ac:dyDescent="0.3">
      <c r="A57" s="5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</row>
    <row r="58" spans="1:46" ht="18.75" x14ac:dyDescent="0.3">
      <c r="A58" s="5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</row>
    <row r="59" spans="1:46" ht="18.75" x14ac:dyDescent="0.3">
      <c r="A59" s="5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</row>
    <row r="60" spans="1:46" ht="18.75" x14ac:dyDescent="0.3">
      <c r="A60" s="5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</row>
    <row r="61" spans="1:46" ht="18.75" x14ac:dyDescent="0.3">
      <c r="A61" s="5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</row>
    <row r="62" spans="1:46" ht="18.75" x14ac:dyDescent="0.3">
      <c r="A62" s="5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</row>
    <row r="63" spans="1:46" ht="18.75" x14ac:dyDescent="0.3">
      <c r="A63" s="5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</row>
    <row r="64" spans="1:46" ht="18.75" x14ac:dyDescent="0.3">
      <c r="A64" s="5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</row>
    <row r="65" spans="1:46" ht="18.75" x14ac:dyDescent="0.3">
      <c r="A65" s="5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</row>
    <row r="66" spans="1:46" ht="18.75" x14ac:dyDescent="0.3">
      <c r="A66" s="5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</row>
    <row r="67" spans="1:46" ht="18.75" x14ac:dyDescent="0.3">
      <c r="A67" s="5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</row>
    <row r="68" spans="1:46" ht="18.75" x14ac:dyDescent="0.3">
      <c r="A68" s="5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</row>
    <row r="69" spans="1:46" ht="18.75" x14ac:dyDescent="0.3">
      <c r="A69" s="5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</row>
    <row r="70" spans="1:46" ht="18.75" x14ac:dyDescent="0.3">
      <c r="A70" s="5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8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8" t="s">
        <v>5</v>
      </c>
      <c r="B2" s="27" t="s">
        <v>4</v>
      </c>
      <c r="C2" s="8" t="s">
        <v>7</v>
      </c>
      <c r="D2" s="9">
        <v>44785</v>
      </c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8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91">
        <v>63108</v>
      </c>
      <c r="B3" s="92" t="s">
        <v>74</v>
      </c>
      <c r="C3" s="71" t="s">
        <v>33</v>
      </c>
      <c r="D3" s="72">
        <v>0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3">
        <f>IF(COUNTA($D$1:$O$1)&gt;0,SUM(D3:O3)*('Nota Khan'!$L$10/COUNTA($D$1:$O$1)),0)</f>
        <v>0</v>
      </c>
      <c r="Q3" s="74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95">
        <v>63384</v>
      </c>
      <c r="B4" s="96" t="s">
        <v>75</v>
      </c>
      <c r="C4" s="75" t="s">
        <v>34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7">
        <f>IF(COUNTA($D$1:$O$1)&gt;0,SUM(D4:O4)*('Nota Khan'!$L$10/COUNTA($D$1:$O$1)),0)</f>
        <v>0</v>
      </c>
      <c r="Q4" s="78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93">
        <v>63390</v>
      </c>
      <c r="B5" s="94" t="s">
        <v>76</v>
      </c>
      <c r="C5" s="79" t="s">
        <v>35</v>
      </c>
      <c r="D5" s="80">
        <v>1</v>
      </c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>
        <f>IF(COUNTA($D$1:$O$1)&gt;0,SUM(D5:O5)*('Nota Khan'!$L$10/COUNTA($D$1:$O$1)),0)</f>
        <v>0</v>
      </c>
      <c r="Q5" s="82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95">
        <v>63501</v>
      </c>
      <c r="B6" s="96" t="s">
        <v>77</v>
      </c>
      <c r="C6" s="75" t="s">
        <v>36</v>
      </c>
      <c r="D6" s="76">
        <v>0.75</v>
      </c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7">
        <f>IF(COUNTA($D$1:$O$1)&gt;0,SUM(D6:O6)*('Nota Khan'!$L$10/COUNTA($D$1:$O$1)),0)</f>
        <v>0</v>
      </c>
      <c r="Q6" s="78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93">
        <v>76141</v>
      </c>
      <c r="B7" s="94" t="s">
        <v>78</v>
      </c>
      <c r="C7" s="79" t="s">
        <v>37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1">
        <f>IF(COUNTA($D$1:$O$1)&gt;0,SUM(D7:O7)*('Nota Khan'!$L$10/COUNTA($D$1:$O$1)),0)</f>
        <v>0</v>
      </c>
      <c r="Q7" s="82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95">
        <v>63868</v>
      </c>
      <c r="B8" s="96" t="s">
        <v>79</v>
      </c>
      <c r="C8" s="75" t="s">
        <v>38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7">
        <f>IF(COUNTA($D$1:$O$1)&gt;0,SUM(D8:O8)*('Nota Khan'!$L$10/COUNTA($D$1:$O$1)),0)</f>
        <v>0</v>
      </c>
      <c r="Q8" s="78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93">
        <v>63983</v>
      </c>
      <c r="B9" s="94" t="s">
        <v>80</v>
      </c>
      <c r="C9" s="79" t="s">
        <v>39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1">
        <f>IF(COUNTA($D$1:$O$1)&gt;0,SUM(D9:O9)*('Nota Khan'!$L$10/COUNTA($D$1:$O$1)),0)</f>
        <v>0</v>
      </c>
      <c r="Q9" s="82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95">
        <v>64018</v>
      </c>
      <c r="B10" s="96" t="s">
        <v>81</v>
      </c>
      <c r="C10" s="75" t="s">
        <v>40</v>
      </c>
      <c r="D10" s="76">
        <v>1</v>
      </c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7">
        <f>IF(COUNTA($D$1:$O$1)&gt;0,SUM(D10:O10)*('Nota Khan'!$L$10/COUNTA($D$1:$O$1)),0)</f>
        <v>0</v>
      </c>
      <c r="Q10" s="78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93">
        <v>64081</v>
      </c>
      <c r="B11" s="94" t="s">
        <v>82</v>
      </c>
      <c r="C11" s="79" t="s">
        <v>41</v>
      </c>
      <c r="D11" s="80">
        <v>0.75</v>
      </c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>
        <f>IF(COUNTA($D$1:$O$1)&gt;0,SUM(D11:O11)*('Nota Khan'!$L$10/COUNTA($D$1:$O$1)),0)</f>
        <v>0</v>
      </c>
      <c r="Q11" s="82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95">
        <v>64548</v>
      </c>
      <c r="B12" s="96" t="s">
        <v>83</v>
      </c>
      <c r="C12" s="75" t="s">
        <v>42</v>
      </c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7">
        <f>IF(COUNTA($D$1:$O$1)&gt;0,SUM(D12:O12)*('Nota Khan'!$L$10/COUNTA($D$1:$O$1)),0)</f>
        <v>0</v>
      </c>
      <c r="Q12" s="78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93">
        <v>64770</v>
      </c>
      <c r="B13" s="94" t="s">
        <v>84</v>
      </c>
      <c r="C13" s="79" t="s">
        <v>43</v>
      </c>
      <c r="D13" s="80">
        <v>1</v>
      </c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>
        <f>IF(COUNTA($D$1:$O$1)&gt;0,SUM(D13:O13)*('Nota Khan'!$L$10/COUNTA($D$1:$O$1)),0)</f>
        <v>0</v>
      </c>
      <c r="Q13" s="82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95">
        <v>64953</v>
      </c>
      <c r="B14" s="96" t="s">
        <v>85</v>
      </c>
      <c r="C14" s="75" t="s">
        <v>44</v>
      </c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7">
        <f>IF(COUNTA($D$1:$O$1)&gt;0,SUM(D14:O14)*('Nota Khan'!$L$10/COUNTA($D$1:$O$1)),0)</f>
        <v>0</v>
      </c>
      <c r="Q14" s="78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93">
        <v>65517</v>
      </c>
      <c r="B15" s="94" t="s">
        <v>86</v>
      </c>
      <c r="C15" s="79" t="s">
        <v>45</v>
      </c>
      <c r="D15" s="80">
        <v>1</v>
      </c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>
        <f>IF(COUNTA($D$1:$O$1)&gt;0,SUM(D15:O15)*('Nota Khan'!$L$10/COUNTA($D$1:$O$1)),0)</f>
        <v>0</v>
      </c>
      <c r="Q15" s="82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95">
        <v>65548</v>
      </c>
      <c r="B16" s="96" t="s">
        <v>87</v>
      </c>
      <c r="C16" s="75" t="s">
        <v>46</v>
      </c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7">
        <f>IF(COUNTA($D$1:$O$1)&gt;0,SUM(D16:O16)*('Nota Khan'!$L$10/COUNTA($D$1:$O$1)),0)</f>
        <v>0</v>
      </c>
      <c r="Q16" s="78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93">
        <v>65580</v>
      </c>
      <c r="B17" s="94" t="s">
        <v>88</v>
      </c>
      <c r="C17" s="79" t="s">
        <v>24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>
        <f>IF(COUNTA($D$1:$O$1)&gt;0,SUM(D17:O17)*('Nota Khan'!$L$10/COUNTA($D$1:$O$1)),0)</f>
        <v>0</v>
      </c>
      <c r="Q17" s="82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95">
        <v>65780</v>
      </c>
      <c r="B18" s="96" t="s">
        <v>89</v>
      </c>
      <c r="C18" s="75" t="s">
        <v>47</v>
      </c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7">
        <f>IF(COUNTA($D$1:$O$1)&gt;0,SUM(D18:O18)*('Nota Khan'!$L$10/COUNTA($D$1:$O$1)),0)</f>
        <v>0</v>
      </c>
      <c r="Q18" s="78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93">
        <v>65954</v>
      </c>
      <c r="B19" s="94" t="s">
        <v>90</v>
      </c>
      <c r="C19" s="79" t="s">
        <v>48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>
        <f>IF(COUNTA($D$1:$O$1)&gt;0,SUM(D19:O19)*('Nota Khan'!$L$10/COUNTA($D$1:$O$1)),0)</f>
        <v>0</v>
      </c>
      <c r="Q19" s="82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95">
        <v>66125</v>
      </c>
      <c r="B20" s="96" t="s">
        <v>91</v>
      </c>
      <c r="C20" s="75" t="s">
        <v>49</v>
      </c>
      <c r="D20" s="76">
        <v>0.75</v>
      </c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7">
        <f>IF(COUNTA($D$1:$O$1)&gt;0,SUM(D20:O20)*('Nota Khan'!$L$10/COUNTA($D$1:$O$1)),0)</f>
        <v>0</v>
      </c>
      <c r="Q20" s="78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93">
        <v>66215</v>
      </c>
      <c r="B21" s="94" t="s">
        <v>92</v>
      </c>
      <c r="C21" s="79" t="s">
        <v>50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1">
        <f>IF(COUNTA($D$1:$O$1)&gt;0,SUM(D21:O21)*('Nota Khan'!$L$10/COUNTA($D$1:$O$1)),0)</f>
        <v>0</v>
      </c>
      <c r="Q21" s="82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95">
        <v>66292</v>
      </c>
      <c r="B22" s="96" t="s">
        <v>93</v>
      </c>
      <c r="C22" s="75" t="s">
        <v>51</v>
      </c>
      <c r="D22" s="83">
        <v>0.5</v>
      </c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77">
        <f>IF(COUNTA($D$1:$O$1)&gt;0,SUM(D22:O22)*('Nota Khan'!$L$10/COUNTA($D$1:$O$1)),0)</f>
        <v>0</v>
      </c>
      <c r="Q22" s="78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93">
        <v>66482</v>
      </c>
      <c r="B23" s="94" t="s">
        <v>94</v>
      </c>
      <c r="C23" s="79" t="s">
        <v>52</v>
      </c>
      <c r="D23" s="80">
        <v>1</v>
      </c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1">
        <f>IF(COUNTA($D$1:$O$1)&gt;0,SUM(D23:O23)*('Nota Khan'!$L$10/COUNTA($D$1:$O$1)),0)</f>
        <v>0</v>
      </c>
      <c r="Q23" s="82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95">
        <v>66827</v>
      </c>
      <c r="B24" s="96" t="s">
        <v>95</v>
      </c>
      <c r="C24" s="75" t="s">
        <v>53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7">
        <f>IF(COUNTA($D$1:$O$1)&gt;0,SUM(D24:O24)*('Nota Khan'!$L$10/COUNTA($D$1:$O$1)),0)</f>
        <v>0</v>
      </c>
      <c r="Q24" s="78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93">
        <v>66928</v>
      </c>
      <c r="B25" s="94" t="s">
        <v>96</v>
      </c>
      <c r="C25" s="79" t="s">
        <v>54</v>
      </c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1">
        <f>IF(COUNTA($D$1:$O$1)&gt;0,SUM(D25:O25)*('Nota Khan'!$L$10/COUNTA($D$1:$O$1)),0)</f>
        <v>0</v>
      </c>
      <c r="Q25" s="82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95">
        <v>75474</v>
      </c>
      <c r="B26" s="96" t="s">
        <v>97</v>
      </c>
      <c r="C26" s="75" t="s">
        <v>25</v>
      </c>
      <c r="D26" s="76">
        <v>1</v>
      </c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7">
        <f>IF(COUNTA($D$1:$O$1)&gt;0,SUM(D26:O26)*('Nota Khan'!$L$10/COUNTA($D$1:$O$1)),0)</f>
        <v>0</v>
      </c>
      <c r="Q26" s="78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93">
        <v>67149</v>
      </c>
      <c r="B27" s="94" t="s">
        <v>98</v>
      </c>
      <c r="C27" s="79" t="s">
        <v>55</v>
      </c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1">
        <f>IF(COUNTA($D$1:$O$1)&gt;0,SUM(D27:O27)*('Nota Khan'!$L$10/COUNTA($D$1:$O$1)),0)</f>
        <v>0</v>
      </c>
      <c r="Q27" s="82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95">
        <v>67175</v>
      </c>
      <c r="B28" s="96" t="s">
        <v>99</v>
      </c>
      <c r="C28" s="75" t="s">
        <v>56</v>
      </c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7">
        <f>IF(COUNTA($D$1:$O$1)&gt;0,SUM(D28:O28)*('Nota Khan'!$L$10/COUNTA($D$1:$O$1)),0)</f>
        <v>0</v>
      </c>
      <c r="Q28" s="78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93">
        <v>67304</v>
      </c>
      <c r="B29" s="94" t="s">
        <v>100</v>
      </c>
      <c r="C29" s="79" t="s">
        <v>57</v>
      </c>
      <c r="D29" s="80">
        <v>0</v>
      </c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1">
        <f>IF(COUNTA($D$1:$O$1)&gt;0,SUM(D29:O29)*('Nota Khan'!$L$10/COUNTA($D$1:$O$1)),0)</f>
        <v>0</v>
      </c>
      <c r="Q29" s="82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95">
        <v>67497</v>
      </c>
      <c r="B30" s="96" t="s">
        <v>101</v>
      </c>
      <c r="C30" s="75" t="s">
        <v>58</v>
      </c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7">
        <f>IF(COUNTA($D$1:$O$1)&gt;0,SUM(D30:O30)*('Nota Khan'!$L$10/COUNTA($D$1:$O$1)),0)</f>
        <v>0</v>
      </c>
      <c r="Q30" s="78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93">
        <v>67720</v>
      </c>
      <c r="B31" s="94" t="s">
        <v>102</v>
      </c>
      <c r="C31" s="79" t="s">
        <v>59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1">
        <f>IF(COUNTA($D$1:$O$1)&gt;0,SUM(D31:O31)*('Nota Khan'!$L$10/COUNTA($D$1:$O$1)),0)</f>
        <v>0</v>
      </c>
      <c r="Q31" s="82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95">
        <v>66482</v>
      </c>
      <c r="B32" s="96" t="s">
        <v>94</v>
      </c>
      <c r="C32" s="75" t="s">
        <v>60</v>
      </c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7">
        <f>IF(COUNTA($D$1:$O$1)&gt;0,SUM(D32:O32)*('Nota Khan'!$L$10/COUNTA($D$1:$O$1)),0)</f>
        <v>0</v>
      </c>
      <c r="Q32" s="78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93">
        <v>66827</v>
      </c>
      <c r="B33" s="94" t="s">
        <v>95</v>
      </c>
      <c r="C33" s="79" t="s">
        <v>61</v>
      </c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1">
        <f>IF(COUNTA($D$1:$O$1)&gt;0,SUM(D33:O33)*('Nota Khan'!$L$10/COUNTA($D$1:$O$1)),0)</f>
        <v>0</v>
      </c>
      <c r="Q33" s="82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95">
        <v>66928</v>
      </c>
      <c r="B34" s="96" t="s">
        <v>96</v>
      </c>
      <c r="C34" s="75" t="s">
        <v>62</v>
      </c>
      <c r="D34" s="76">
        <v>1</v>
      </c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7">
        <f>IF(COUNTA($D$1:$O$1)&gt;0,SUM(D34:O34)*('Nota Khan'!$L$10/COUNTA($D$1:$O$1)),0)</f>
        <v>0</v>
      </c>
      <c r="Q34" s="78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93">
        <v>75474</v>
      </c>
      <c r="B35" s="94" t="s">
        <v>97</v>
      </c>
      <c r="C35" s="79" t="s">
        <v>63</v>
      </c>
      <c r="D35" s="80">
        <v>1</v>
      </c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1">
        <f>IF(COUNTA($D$1:$O$1)&gt;0,SUM(D35:O35)*('Nota Khan'!$L$10/COUNTA($D$1:$O$1)),0)</f>
        <v>0</v>
      </c>
      <c r="Q35" s="82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95">
        <v>67149</v>
      </c>
      <c r="B36" s="96" t="s">
        <v>98</v>
      </c>
      <c r="C36" s="75" t="s">
        <v>64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7">
        <f>IF(COUNTA($D$1:$O$1)&gt;0,SUM(D36:O36)*('Nota Khan'!$L$10/COUNTA($D$1:$O$1)),0)</f>
        <v>0</v>
      </c>
      <c r="Q36" s="78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93">
        <v>67175</v>
      </c>
      <c r="B37" s="94" t="s">
        <v>99</v>
      </c>
      <c r="C37" s="79" t="s">
        <v>65</v>
      </c>
      <c r="D37" s="80">
        <v>1</v>
      </c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1">
        <f>IF(COUNTA($D$1:$O$1)&gt;0,SUM(D37:O37)*('Nota Khan'!$L$10/COUNTA($D$1:$O$1)),0)</f>
        <v>0</v>
      </c>
      <c r="Q37" s="82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95">
        <v>67304</v>
      </c>
      <c r="B38" s="96" t="s">
        <v>100</v>
      </c>
      <c r="C38" s="75" t="s">
        <v>66</v>
      </c>
      <c r="D38" s="76">
        <v>1</v>
      </c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7">
        <f>IF(COUNTA($D$1:$O$1)&gt;0,SUM(D38:O38)*('Nota Khan'!$L$10/COUNTA($D$1:$O$1)),0)</f>
        <v>0</v>
      </c>
      <c r="Q38" s="78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93">
        <v>67497</v>
      </c>
      <c r="B39" s="94" t="s">
        <v>101</v>
      </c>
      <c r="C39" s="79" t="s">
        <v>67</v>
      </c>
      <c r="D39" s="80">
        <v>0.75</v>
      </c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1">
        <f>IF(COUNTA($D$1:$O$1)&gt;0,SUM(D39:O39)*('Nota Khan'!$L$10/COUNTA($D$1:$O$1)),0)</f>
        <v>0</v>
      </c>
      <c r="Q39" s="82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95">
        <v>67720</v>
      </c>
      <c r="B40" s="96" t="s">
        <v>102</v>
      </c>
      <c r="C40" s="75" t="s">
        <v>68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7">
        <f>IF(COUNTA($D$1:$O$1)&gt;0,SUM(D40:O40)*('Nota Khan'!$L$10/COUNTA($D$1:$O$1)),0)</f>
        <v>0</v>
      </c>
      <c r="Q40" s="78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93">
        <v>68208</v>
      </c>
      <c r="B41" s="94" t="s">
        <v>103</v>
      </c>
      <c r="C41" s="79" t="s">
        <v>69</v>
      </c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1">
        <f>IF(COUNTA($D$1:$O$1)&gt;0,SUM(D41:O41)*('Nota Khan'!$L$10/COUNTA($D$1:$O$1)),0)</f>
        <v>0</v>
      </c>
      <c r="Q41" s="82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84">
        <v>68258</v>
      </c>
      <c r="B42" s="85" t="s">
        <v>32</v>
      </c>
      <c r="C42" s="86" t="s">
        <v>70</v>
      </c>
      <c r="D42" s="87"/>
      <c r="E42" s="87"/>
      <c r="F42" s="87"/>
      <c r="G42" s="87"/>
      <c r="H42" s="88"/>
      <c r="I42" s="87"/>
      <c r="J42" s="87"/>
      <c r="K42" s="87"/>
      <c r="L42" s="87"/>
      <c r="M42" s="87"/>
      <c r="N42" s="87"/>
      <c r="O42" s="87"/>
      <c r="P42" s="89">
        <f>IF(COUNTA($D$1:$O$1)&gt;0,SUM(D42:O42)*('Nota Khan'!$L$10/COUNTA($D$1:$O$1)),0)</f>
        <v>0</v>
      </c>
      <c r="Q42" s="9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17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D50/40</f>
        <v>0.42499999999999999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0.79411764705882348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0.60955882352941171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0.60955882352941171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sortState xmlns:xlrd2="http://schemas.microsoft.com/office/spreadsheetml/2017/richdata2" ref="A3:P42">
    <sortCondition ref="B3"/>
  </sortState>
  <mergeCells count="2">
    <mergeCell ref="A1:C1"/>
    <mergeCell ref="P50:P52"/>
  </mergeCells>
  <conditionalFormatting sqref="C52:O52 C50:O50">
    <cfRule type="expression" dxfId="8" priority="1">
      <formula>MOD(ROW(),2)=0</formula>
    </cfRule>
  </conditionalFormatting>
  <hyperlinks>
    <hyperlink ref="C3" r:id="rId1" display="https://pt.khanacademy.org/teacher/class/K4XFZKN4/individual-student/kaid_1123194222109455659475590/skills?from=assignment-scores" xr:uid="{75BEF787-867F-48FE-83E1-A4F94BBA40D5}"/>
    <hyperlink ref="C4" r:id="rId2" display="https://pt.khanacademy.org/teacher/class/K4XFZKN4/individual-student/kaid_615225427222256568012201/skills?from=assignment-scores" xr:uid="{036474B5-8567-42F3-96EF-2E9468C38BF6}"/>
    <hyperlink ref="C5" r:id="rId3" display="https://pt.khanacademy.org/teacher/class/K4XFZKN4/individual-student/kaid_642314254893549180893283/skills?from=assignment-scores" xr:uid="{1F4CA79F-A6B1-498B-BC2C-3CAA43F3D807}"/>
    <hyperlink ref="C6" r:id="rId4" display="https://pt.khanacademy.org/teacher/class/K4XFZKN4/individual-student/kaid_1150936340002462205610468/skills?from=assignment-scores" xr:uid="{C574CF54-6639-4090-B8F9-466EFAB67CC0}"/>
    <hyperlink ref="C7" r:id="rId5" display="https://pt.khanacademy.org/teacher/class/K4XFZKN4/individual-student/kaid_552467484628956881987460/skills?from=assignment-scores" xr:uid="{3E32EEC3-C09D-42C2-A983-2CCE44F70C6B}"/>
    <hyperlink ref="C8" r:id="rId6" display="https://pt.khanacademy.org/teacher/class/K4XFZKN4/individual-student/kaid_874904897828534255225903/skills?from=assignment-scores" xr:uid="{48AFAF4B-19BF-4202-8C73-ED68B732AF89}"/>
    <hyperlink ref="C9" r:id="rId7" display="https://pt.khanacademy.org/teacher/class/K4XFZKN4/individual-student/kaid_722806725608440110181543/skills?from=assignment-scores" xr:uid="{44A08C8A-C72A-4B44-8141-AE7EA99F5C60}"/>
    <hyperlink ref="C10" r:id="rId8" display="https://pt.khanacademy.org/teacher/class/K4XFZKN4/individual-student/kaid_1140518270059240307435194/skills?from=assignment-scores" xr:uid="{92FA8FAE-F337-430E-ABA5-0A5A3C71052C}"/>
    <hyperlink ref="C11" r:id="rId9" display="https://pt.khanacademy.org/teacher/class/K4XFZKN4/individual-student/kaid_1142953360644706152981442/skills?from=assignment-scores" xr:uid="{13EC1973-E77F-4342-8408-E081AF89F635}"/>
    <hyperlink ref="C12" r:id="rId10" display="https://pt.khanacademy.org/teacher/class/K4XFZKN4/individual-student/kaid_775659133076755604686287/skills?from=assignment-scores" xr:uid="{10436A49-1DFC-49FC-95FB-02CABC59CB3B}"/>
    <hyperlink ref="C13" r:id="rId11" display="https://pt.khanacademy.org/teacher/class/K4XFZKN4/individual-student/kaid_87756263816918842680719/skills?from=assignment-scores" xr:uid="{B93ECA33-398A-4FDB-AAEA-B3DCF9548D0F}"/>
    <hyperlink ref="C14" r:id="rId12" display="https://pt.khanacademy.org/teacher/class/K4XFZKN4/individual-student/kaid_483926493894170324219374/skills?from=assignment-scores" xr:uid="{87DB6DFF-D322-4117-A3A8-4F55EA2E1628}"/>
    <hyperlink ref="C15" r:id="rId13" display="https://pt.khanacademy.org/teacher/class/K4XFZKN4/individual-student/kaid_1122582505312363876939940/skills?from=assignment-scores" xr:uid="{C781FBCC-CF25-4472-B3DC-F04CBCB46CBF}"/>
    <hyperlink ref="C16" r:id="rId14" display="https://pt.khanacademy.org/teacher/class/K4XFZKN4/individual-student/kaid_1104950376987521388331958/skills?from=assignment-scores" xr:uid="{15D32B11-F829-429E-957E-238A01BCAE54}"/>
    <hyperlink ref="C17" r:id="rId15" display="https://pt.khanacademy.org/teacher/class/K4XFZKN4/individual-student/kaid_959309140938899927694190/skills?from=assignment-scores" xr:uid="{5F7D066C-03F8-45C7-9CEB-6F72618A0833}"/>
    <hyperlink ref="C18" r:id="rId16" display="https://pt.khanacademy.org/teacher/class/K4XFZKN4/individual-student/kaid_1098148262191934193917459/skills?from=assignment-scores" xr:uid="{3A58336D-6804-4980-9B47-A0E013D033FE}"/>
    <hyperlink ref="C19" r:id="rId17" display="https://pt.khanacademy.org/teacher/class/K4XFZKN4/individual-student/kaid_630748101793965208599898/skills?from=assignment-scores" xr:uid="{20C0A810-4FD4-44CE-99D8-C63BF7748F92}"/>
    <hyperlink ref="C20" r:id="rId18" display="https://pt.khanacademy.org/teacher/class/K4XFZKN4/individual-student/kaid_320271837047530267818676/skills?from=assignment-scores" xr:uid="{33068737-1A7D-46E8-B7AB-A67B898DFB79}"/>
    <hyperlink ref="C21" r:id="rId19" display="https://pt.khanacademy.org/teacher/class/K4XFZKN4/individual-student/kaid_684908622247165910599871/skills?from=assignment-scores" xr:uid="{83513068-5BDC-4A1A-8FE1-57B45F18B958}"/>
    <hyperlink ref="C22" r:id="rId20" display="https://pt.khanacademy.org/teacher/class/K4XFZKN4/individual-student/kaid_1034285066244113527175951/skills?from=assignment-scores" xr:uid="{90A8E6AD-7FB3-4070-A3C7-FA3E5A60EC23}"/>
    <hyperlink ref="C23" r:id="rId21" display="https://pt.khanacademy.org/teacher/class/K4XFZKN4/individual-student/kaid_394983176817602349160421/skills?from=assignment-scores" xr:uid="{B7143EA4-21D6-46FB-999E-17D1BF17E2FD}"/>
    <hyperlink ref="C24" r:id="rId22" display="https://pt.khanacademy.org/teacher/class/K4XFZKN4/individual-student/kaid_1136652071161722439381671/skills?from=assignment-scores" xr:uid="{EBE6C77F-A445-4C09-A131-A0DF20AC0266}"/>
    <hyperlink ref="C25" r:id="rId23" display="https://pt.khanacademy.org/teacher/class/K4XFZKN4/individual-student/kaid_155093729209162396536542/skills?from=assignment-scores" xr:uid="{F5D54008-8C2C-4AD0-9CE4-75744D7B6306}"/>
    <hyperlink ref="C26" r:id="rId24" display="https://pt.khanacademy.org/teacher/class/K4XFZKN4/individual-student/kaid_708022212563808257308436/skills?from=assignment-scores" xr:uid="{096B6BBC-7AF7-43A2-98C0-E487A6363494}"/>
    <hyperlink ref="C27" r:id="rId25" display="https://pt.khanacademy.org/teacher/class/K4XFZKN4/individual-student/kaid_348260450567630449793442/skills?from=assignment-scores" xr:uid="{F934827D-5684-4C9C-B28E-792FACF1BA88}"/>
    <hyperlink ref="C28" r:id="rId26" display="https://pt.khanacademy.org/teacher/class/K4XFZKN4/individual-student/kaid_971229469422328968517909/skills?from=assignment-scores" xr:uid="{881497EF-6FEC-44DF-AA95-EDBF5904B8AA}"/>
    <hyperlink ref="C29" r:id="rId27" display="https://pt.khanacademy.org/teacher/class/K4XFZKN4/individual-student/kaid_54360088420165497075155/skills?from=assignment-scores" xr:uid="{7B94E983-CFA8-435D-A9CF-09DCF2F299AA}"/>
    <hyperlink ref="C30" r:id="rId28" display="https://pt.khanacademy.org/teacher/class/K4XFZKN4/individual-student/kaid_201525507292921248370325/skills?from=assignment-scores" xr:uid="{AAE164F8-8822-42C1-8CC3-1A80A10637F0}"/>
    <hyperlink ref="C31" r:id="rId29" display="https://pt.khanacademy.org/teacher/class/K4XFZKN4/individual-student/kaid_477363970821864359576447/skills?from=assignment-scores" xr:uid="{CBD31F0E-F7FB-4470-B4AD-983BA9B49F2A}"/>
    <hyperlink ref="C32" r:id="rId30" display="https://pt.khanacademy.org/teacher/class/K4XFZKN4/individual-student/kaid_297190814446824891199048/skills?from=assignment-scores" xr:uid="{BB8ACC5B-29BF-4AC9-81B6-30639F45B964}"/>
    <hyperlink ref="C33" r:id="rId31" display="https://pt.khanacademy.org/teacher/class/K4XFZKN4/individual-student/kaid_1171982650177813546093446/skills?from=assignment-scores" xr:uid="{3573EF9C-9130-435B-B497-7283ADC9C1FF}"/>
    <hyperlink ref="C34" r:id="rId32" display="https://pt.khanacademy.org/teacher/class/K4XFZKN4/individual-student/kaid_56893605019384880352894/skills?from=assignment-scores" xr:uid="{4DC503D3-2490-4E61-932A-548167F756C9}"/>
    <hyperlink ref="C35" r:id="rId33" display="https://pt.khanacademy.org/teacher/class/K4XFZKN4/individual-student/kaid_879386105810339307371582/skills?from=assignment-scores" xr:uid="{FC42B787-011D-4F1F-ABA0-EFA19D8FE57F}"/>
    <hyperlink ref="C36" r:id="rId34" display="https://pt.khanacademy.org/teacher/class/K4XFZKN4/individual-student/kaid_1200872089182327042652600/skills?from=assignment-scores" xr:uid="{634C9299-2638-443F-BA48-2DB7F6591B86}"/>
    <hyperlink ref="C37" r:id="rId35" display="https://pt.khanacademy.org/teacher/class/K4XFZKN4/individual-student/kaid_296961134030859715292776/skills?from=assignment-scores" xr:uid="{561A08FD-4ECD-4C55-BE29-B8524EAB5090}"/>
    <hyperlink ref="C38" r:id="rId36" display="https://pt.khanacademy.org/teacher/class/K4XFZKN4/individual-student/kaid_406437948259842047029710/skills?from=assignment-scores" xr:uid="{B2106622-376D-4224-9BDD-37205D98D036}"/>
    <hyperlink ref="C39" r:id="rId37" display="https://pt.khanacademy.org/teacher/class/K4XFZKN4/individual-student/kaid_90573239421099667310600/skills?from=assignment-scores" xr:uid="{C8ED4811-210A-4751-93E3-22840F7E7FFC}"/>
    <hyperlink ref="C40" r:id="rId38" display="https://pt.khanacademy.org/teacher/class/K4XFZKN4/individual-student/kaid_982823967740574044965284/skills?from=assignment-scores" xr:uid="{A7851AD6-D7F4-4D96-A9E5-E8E0FD4A4784}"/>
    <hyperlink ref="C41" r:id="rId39" display="https://pt.khanacademy.org/teacher/class/K4XFZKN4/individual-student/kaid_815134760347348399112757/skills?from=assignment-scores" xr:uid="{90831B8C-2AA4-4357-8538-16BEEE448D03}"/>
    <hyperlink ref="C42" r:id="rId40" display="https://pt.khanacademy.org/teacher/class/K4XFZKN4/individual-student/kaid_669439976000471532956963/skills?from=assignment-scores" xr:uid="{3F1164E1-89AA-47A4-A058-49B19718E14F}"/>
  </hyperlinks>
  <pageMargins left="0.511811024" right="0.511811024" top="0.78740157499999996" bottom="0.78740157499999996" header="0" footer="0"/>
  <pageSetup paperSize="9" orientation="portrait" r:id="rId4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66301-4568-49AE-B5A4-331DE6B40E49}">
  <sheetPr codeName="Planilha6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7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B8C7B-238A-448E-B9FF-791D2A8789EC}">
  <sheetPr codeName="Planilha7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6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48595-3D78-426F-930D-346A97669FC4}">
  <sheetPr codeName="Planilha8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5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EB07B-C8B6-4EDA-9479-E9B9BC7EAAB2}">
  <sheetPr codeName="Planilha9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4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2D4C-B77E-4C72-9D7D-9C954A2F1043}">
  <sheetPr codeName="Planilha10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3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53897-CB08-4EDD-A3ED-DC6ECE2E8943}">
  <sheetPr codeName="Planilha12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2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AEA6C-3810-4593-8AA1-2633741F7CD0}">
  <sheetPr codeName="Planilha14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15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27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x14ac:dyDescent="0.25">
      <c r="A2" s="27" t="s">
        <v>5</v>
      </c>
      <c r="B2" s="27" t="s">
        <v>4</v>
      </c>
      <c r="C2" s="27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27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1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74CCB-63B2-484C-B634-9AE756B9C620}">
  <sheetPr codeName="Planilha15">
    <tabColor theme="4" tint="-0.249977111117893"/>
  </sheetPr>
  <dimension ref="A1:AL1001"/>
  <sheetViews>
    <sheetView zoomScale="85" zoomScaleNormal="85" workbookViewId="0">
      <pane xSplit="3" ySplit="2" topLeftCell="D3" activePane="bottomRight" state="frozen"/>
      <selection pane="topRight" activeCell="E1" sqref="E1"/>
      <selection pane="bottomLeft" activeCell="A3" sqref="A3"/>
      <selection pane="bottomRight" sqref="A1:C1"/>
    </sheetView>
  </sheetViews>
  <sheetFormatPr defaultColWidth="0" defaultRowHeight="0" customHeight="1" zeroHeight="1" x14ac:dyDescent="0.2"/>
  <cols>
    <col min="1" max="1" width="7.85546875" style="1" bestFit="1" customWidth="1"/>
    <col min="2" max="2" width="41.7109375" style="1" customWidth="1"/>
    <col min="3" max="3" width="26.85546875" style="1" bestFit="1" customWidth="1"/>
    <col min="4" max="15" width="11.140625" style="1" customWidth="1"/>
    <col min="16" max="16" width="11.140625" style="2" customWidth="1"/>
    <col min="17" max="17" width="12" style="1" hidden="1" customWidth="1"/>
    <col min="18" max="18" width="10.42578125" style="1" hidden="1" customWidth="1"/>
    <col min="19" max="22" width="8.7109375" style="1" hidden="1" customWidth="1"/>
    <col min="23" max="38" width="0" style="1" hidden="1" customWidth="1"/>
    <col min="39" max="16384" width="14.42578125" style="1" hidden="1"/>
  </cols>
  <sheetData>
    <row r="1" spans="1:38" ht="15" x14ac:dyDescent="0.25">
      <c r="A1" s="202" t="s">
        <v>26</v>
      </c>
      <c r="B1" s="203"/>
      <c r="C1" s="203"/>
      <c r="D1" s="6"/>
      <c r="E1" s="7"/>
      <c r="F1" s="11"/>
      <c r="G1" s="11"/>
      <c r="H1" s="11"/>
      <c r="I1" s="11"/>
      <c r="J1" s="11"/>
      <c r="K1" s="11"/>
      <c r="L1" s="11"/>
      <c r="M1" s="11"/>
      <c r="N1" s="11"/>
      <c r="O1" s="11"/>
      <c r="P1" s="69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</row>
    <row r="2" spans="1:38" ht="15" x14ac:dyDescent="0.25">
      <c r="A2" s="69" t="s">
        <v>5</v>
      </c>
      <c r="B2" s="69" t="s">
        <v>4</v>
      </c>
      <c r="C2" s="69" t="s">
        <v>7</v>
      </c>
      <c r="D2" s="9"/>
      <c r="E2" s="9"/>
      <c r="F2" s="12"/>
      <c r="G2" s="12"/>
      <c r="H2" s="12"/>
      <c r="I2" s="12"/>
      <c r="J2" s="12"/>
      <c r="K2" s="12"/>
      <c r="L2" s="12"/>
      <c r="M2" s="12"/>
      <c r="N2" s="12"/>
      <c r="O2" s="12"/>
      <c r="P2" s="69" t="s">
        <v>0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 ht="15" x14ac:dyDescent="0.25">
      <c r="A3" s="46"/>
      <c r="B3" s="46"/>
      <c r="C3" s="5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>
        <f>IF(COUNTA($D$1:$O$1)&gt;0,SUM(D3:O3)*('Nota Khan'!$L$10/COUNTA($D$1:$O$1)),0)</f>
        <v>0</v>
      </c>
      <c r="Q3" s="4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ht="15" x14ac:dyDescent="0.25">
      <c r="A4" s="51"/>
      <c r="B4" s="51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4">
        <f>IF(COUNTA($D$1:$O$1)&gt;0,SUM(D4:O4)*('Nota Khan'!$L$10/COUNTA($D$1:$O$1)),0)</f>
        <v>0</v>
      </c>
      <c r="Q4" s="55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ht="15" x14ac:dyDescent="0.25">
      <c r="A5" s="46"/>
      <c r="B5" s="46"/>
      <c r="C5" s="5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8">
        <f>IF(COUNTA($D$1:$O$1)&gt;0,SUM(D5:O5)*('Nota Khan'!$L$10/COUNTA($D$1:$O$1)),0)</f>
        <v>0</v>
      </c>
      <c r="Q5" s="4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</row>
    <row r="6" spans="1:38" ht="15" x14ac:dyDescent="0.25">
      <c r="A6" s="51"/>
      <c r="B6" s="56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4">
        <f>IF(COUNTA($D$1:$O$1)&gt;0,SUM(D6:O6)*('Nota Khan'!$L$10/COUNTA($D$1:$O$1)),0)</f>
        <v>0</v>
      </c>
      <c r="Q6" s="55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ht="15" customHeight="1" x14ac:dyDescent="0.25">
      <c r="A7" s="46"/>
      <c r="B7" s="46"/>
      <c r="C7" s="50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8">
        <f>IF(COUNTA($D$1:$O$1)&gt;0,SUM(D7:O7)*('Nota Khan'!$L$10/COUNTA($D$1:$O$1)),0)</f>
        <v>0</v>
      </c>
      <c r="Q7" s="4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</row>
    <row r="8" spans="1:38" ht="15" x14ac:dyDescent="0.25">
      <c r="A8" s="51"/>
      <c r="B8" s="51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4">
        <f>IF(COUNTA($D$1:$O$1)&gt;0,SUM(D8:O8)*('Nota Khan'!$L$10/COUNTA($D$1:$O$1)),0)</f>
        <v>0</v>
      </c>
      <c r="Q8" s="55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</row>
    <row r="9" spans="1:38" ht="15" x14ac:dyDescent="0.25">
      <c r="A9" s="46"/>
      <c r="B9" s="46"/>
      <c r="C9" s="5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8">
        <f>IF(COUNTA($D$1:$O$1)&gt;0,SUM(D9:O9)*('Nota Khan'!$L$10/COUNTA($D$1:$O$1)),0)</f>
        <v>0</v>
      </c>
      <c r="Q9" s="49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</row>
    <row r="10" spans="1:38" ht="15" x14ac:dyDescent="0.25">
      <c r="A10" s="51"/>
      <c r="B10" s="51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4">
        <f>IF(COUNTA($D$1:$O$1)&gt;0,SUM(D10:O10)*('Nota Khan'!$L$10/COUNTA($D$1:$O$1)),0)</f>
        <v>0</v>
      </c>
      <c r="Q10" s="55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s="25" customFormat="1" ht="15.75" customHeight="1" x14ac:dyDescent="0.25">
      <c r="A11" s="46"/>
      <c r="B11" s="46"/>
      <c r="C11" s="50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>
        <f>IF(COUNTA($D$1:$O$1)&gt;0,SUM(D11:O11)*('Nota Khan'!$L$10/COUNTA($D$1:$O$1)),0)</f>
        <v>0</v>
      </c>
      <c r="Q11" s="49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</row>
    <row r="12" spans="1:38" ht="15" x14ac:dyDescent="0.25">
      <c r="A12" s="51"/>
      <c r="B12" s="51"/>
      <c r="C12" s="52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4">
        <f>IF(COUNTA($D$1:$O$1)&gt;0,SUM(D12:O12)*('Nota Khan'!$L$10/COUNTA($D$1:$O$1)),0)</f>
        <v>0</v>
      </c>
      <c r="Q12" s="55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5" x14ac:dyDescent="0.25">
      <c r="A13" s="46"/>
      <c r="B13" s="46"/>
      <c r="C13" s="50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>
        <f>IF(COUNTA($D$1:$O$1)&gt;0,SUM(D13:O13)*('Nota Khan'!$L$10/COUNTA($D$1:$O$1)),0)</f>
        <v>0</v>
      </c>
      <c r="Q13" s="49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5" x14ac:dyDescent="0.25">
      <c r="A14" s="51"/>
      <c r="B14" s="51"/>
      <c r="C14" s="52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4">
        <f>IF(COUNTA($D$1:$O$1)&gt;0,SUM(D14:O14)*('Nota Khan'!$L$10/COUNTA($D$1:$O$1)),0)</f>
        <v>0</v>
      </c>
      <c r="Q14" s="55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5" x14ac:dyDescent="0.25">
      <c r="A15" s="46"/>
      <c r="B15" s="46"/>
      <c r="C15" s="5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>
        <f>IF(COUNTA($D$1:$O$1)&gt;0,SUM(D15:O15)*('Nota Khan'!$L$10/COUNTA($D$1:$O$1)),0)</f>
        <v>0</v>
      </c>
      <c r="Q15" s="49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5" x14ac:dyDescent="0.25">
      <c r="A16" s="51"/>
      <c r="B16" s="51"/>
      <c r="C16" s="52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>
        <f>IF(COUNTA($D$1:$O$1)&gt;0,SUM(D16:O16)*('Nota Khan'!$L$10/COUNTA($D$1:$O$1)),0)</f>
        <v>0</v>
      </c>
      <c r="Q16" s="55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5" x14ac:dyDescent="0.25">
      <c r="A17" s="46"/>
      <c r="B17" s="58"/>
      <c r="C17" s="50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>
        <f>IF(COUNTA($D$1:$O$1)&gt;0,SUM(D17:O17)*('Nota Khan'!$L$10/COUNTA($D$1:$O$1)),0)</f>
        <v>0</v>
      </c>
      <c r="Q17" s="49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5" x14ac:dyDescent="0.25">
      <c r="A18" s="51"/>
      <c r="B18" s="51"/>
      <c r="C18" s="52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4">
        <f>IF(COUNTA($D$1:$O$1)&gt;0,SUM(D18:O18)*('Nota Khan'!$L$10/COUNTA($D$1:$O$1)),0)</f>
        <v>0</v>
      </c>
      <c r="Q18" s="55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5" x14ac:dyDescent="0.25">
      <c r="A19" s="46"/>
      <c r="B19" s="46"/>
      <c r="C19" s="5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>
        <f>IF(COUNTA($D$1:$O$1)&gt;0,SUM(D19:O19)*('Nota Khan'!$L$10/COUNTA($D$1:$O$1)),0)</f>
        <v>0</v>
      </c>
      <c r="Q19" s="4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5" x14ac:dyDescent="0.25">
      <c r="A20" s="51"/>
      <c r="B20" s="51"/>
      <c r="C20" s="52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4">
        <f>IF(COUNTA($D$1:$O$1)&gt;0,SUM(D20:O20)*('Nota Khan'!$L$10/COUNTA($D$1:$O$1)),0)</f>
        <v>0</v>
      </c>
      <c r="Q20" s="55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5">
      <c r="A21" s="46"/>
      <c r="B21" s="46"/>
      <c r="C21" s="5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>
        <f>IF(COUNTA($D$1:$O$1)&gt;0,SUM(D21:O21)*('Nota Khan'!$L$10/COUNTA($D$1:$O$1)),0)</f>
        <v>0</v>
      </c>
      <c r="Q21" s="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5">
      <c r="A22" s="51"/>
      <c r="B22" s="51"/>
      <c r="C22" s="61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54">
        <f>IF(COUNTA($D$1:$O$1)&gt;0,SUM(D22:O22)*('Nota Khan'!$L$10/COUNTA($D$1:$O$1)),0)</f>
        <v>0</v>
      </c>
      <c r="Q22" s="55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5">
      <c r="A23" s="46"/>
      <c r="B23" s="46"/>
      <c r="C23" s="5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>
        <f>IF(COUNTA($D$1:$O$1)&gt;0,SUM(D23:O23)*('Nota Khan'!$L$10/COUNTA($D$1:$O$1)),0)</f>
        <v>0</v>
      </c>
      <c r="Q23" s="49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5">
      <c r="A24" s="51"/>
      <c r="B24" s="51"/>
      <c r="C24" s="52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4">
        <f>IF(COUNTA($D$1:$O$1)&gt;0,SUM(D24:O24)*('Nota Khan'!$L$10/COUNTA($D$1:$O$1)),0)</f>
        <v>0</v>
      </c>
      <c r="Q24" s="55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5">
      <c r="A25" s="46"/>
      <c r="B25" s="46"/>
      <c r="C25" s="50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>
        <f>IF(COUNTA($D$1:$O$1)&gt;0,SUM(D25:O25)*('Nota Khan'!$L$10/COUNTA($D$1:$O$1)),0)</f>
        <v>0</v>
      </c>
      <c r="Q25" s="49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5">
      <c r="A26" s="51"/>
      <c r="B26" s="51"/>
      <c r="C26" s="52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4">
        <f>IF(COUNTA($D$1:$O$1)&gt;0,SUM(D26:O26)*('Nota Khan'!$L$10/COUNTA($D$1:$O$1)),0)</f>
        <v>0</v>
      </c>
      <c r="Q26" s="55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5">
      <c r="A27" s="46"/>
      <c r="B27" s="46"/>
      <c r="C27" s="5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>
        <f>IF(COUNTA($D$1:$O$1)&gt;0,SUM(D27:O27)*('Nota Khan'!$L$10/COUNTA($D$1:$O$1)),0)</f>
        <v>0</v>
      </c>
      <c r="Q27" s="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5">
      <c r="A28" s="51"/>
      <c r="B28" s="51"/>
      <c r="C28" s="52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>IF(COUNTA($D$1:$O$1)&gt;0,SUM(D28:O28)*('Nota Khan'!$L$10/COUNTA($D$1:$O$1)),0)</f>
        <v>0</v>
      </c>
      <c r="Q28" s="55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5">
      <c r="A29" s="46"/>
      <c r="B29" s="46"/>
      <c r="C29" s="5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>
        <f>IF(COUNTA($D$1:$O$1)&gt;0,SUM(D29:O29)*('Nota Khan'!$L$10/COUNTA($D$1:$O$1)),0)</f>
        <v>0</v>
      </c>
      <c r="Q29" s="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" customHeight="1" x14ac:dyDescent="0.25">
      <c r="A30" s="51"/>
      <c r="B30" s="51"/>
      <c r="C30" s="52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4">
        <f>IF(COUNTA($D$1:$O$1)&gt;0,SUM(D30:O30)*('Nota Khan'!$L$10/COUNTA($D$1:$O$1)),0)</f>
        <v>0</v>
      </c>
      <c r="Q30" s="55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5">
      <c r="A31" s="46"/>
      <c r="B31" s="46"/>
      <c r="C31" s="5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>
        <f>IF(COUNTA($D$1:$O$1)&gt;0,SUM(D31:O31)*('Nota Khan'!$L$10/COUNTA($D$1:$O$1)),0)</f>
        <v>0</v>
      </c>
      <c r="Q31" s="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5">
      <c r="A32" s="51"/>
      <c r="B32" s="51"/>
      <c r="C32" s="52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>
        <f>IF(COUNTA($D$1:$O$1)&gt;0,SUM(D32:O32)*('Nota Khan'!$L$10/COUNTA($D$1:$O$1)),0)</f>
        <v>0</v>
      </c>
      <c r="Q32" s="55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5">
      <c r="A33" s="46"/>
      <c r="B33" s="46"/>
      <c r="C33" s="50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>
        <f>IF(COUNTA($D$1:$O$1)&gt;0,SUM(D33:O33)*('Nota Khan'!$L$10/COUNTA($D$1:$O$1)),0)</f>
        <v>0</v>
      </c>
      <c r="Q33" s="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5">
      <c r="A34" s="51"/>
      <c r="B34" s="51"/>
      <c r="C34" s="52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4">
        <f>IF(COUNTA($D$1:$O$1)&gt;0,SUM(D34:O34)*('Nota Khan'!$L$10/COUNTA($D$1:$O$1)),0)</f>
        <v>0</v>
      </c>
      <c r="Q34" s="55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5">
      <c r="A35" s="46"/>
      <c r="B35" s="46"/>
      <c r="C35" s="5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>
        <f>IF(COUNTA($D$1:$O$1)&gt;0,SUM(D35:O35)*('Nota Khan'!$L$10/COUNTA($D$1:$O$1)),0)</f>
        <v>0</v>
      </c>
      <c r="Q35" s="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5">
      <c r="A36" s="51"/>
      <c r="B36" s="51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4">
        <f>IF(COUNTA($D$1:$O$1)&gt;0,SUM(D36:O36)*('Nota Khan'!$L$10/COUNTA($D$1:$O$1)),0)</f>
        <v>0</v>
      </c>
      <c r="Q36" s="55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5">
      <c r="A37" s="46"/>
      <c r="B37" s="46"/>
      <c r="C37" s="50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>
        <f>IF(COUNTA($D$1:$O$1)&gt;0,SUM(D37:O37)*('Nota Khan'!$L$10/COUNTA($D$1:$O$1)),0)</f>
        <v>0</v>
      </c>
      <c r="Q37" s="49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5">
      <c r="A38" s="51"/>
      <c r="B38" s="51"/>
      <c r="C38" s="5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4">
        <f>IF(COUNTA($D$1:$O$1)&gt;0,SUM(D38:O38)*('Nota Khan'!$L$10/COUNTA($D$1:$O$1)),0)</f>
        <v>0</v>
      </c>
      <c r="Q38" s="55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5">
      <c r="A39" s="46"/>
      <c r="B39" s="46"/>
      <c r="C39" s="5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>
        <f>IF(COUNTA($D$1:$O$1)&gt;0,SUM(D39:O39)*('Nota Khan'!$L$10/COUNTA($D$1:$O$1)),0)</f>
        <v>0</v>
      </c>
      <c r="Q39" s="49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5">
      <c r="A40" s="51"/>
      <c r="B40" s="51"/>
      <c r="C40" s="52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>
        <f>IF(COUNTA($D$1:$O$1)&gt;0,SUM(D40:O40)*('Nota Khan'!$L$10/COUNTA($D$1:$O$1)),0)</f>
        <v>0</v>
      </c>
      <c r="Q40" s="55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5">
      <c r="A41" s="46"/>
      <c r="B41" s="46"/>
      <c r="C41" s="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>
        <f>IF(COUNTA($D$1:$O$1)&gt;0,SUM(D41:O41)*('Nota Khan'!$L$10/COUNTA($D$1:$O$1)),0)</f>
        <v>0</v>
      </c>
      <c r="Q41" s="49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5">
      <c r="A42" s="51"/>
      <c r="B42" s="51"/>
      <c r="C42" s="52"/>
      <c r="D42" s="53"/>
      <c r="E42" s="53"/>
      <c r="F42" s="53"/>
      <c r="G42" s="53"/>
      <c r="H42" s="65"/>
      <c r="I42" s="53"/>
      <c r="J42" s="53"/>
      <c r="K42" s="53"/>
      <c r="L42" s="53"/>
      <c r="M42" s="53"/>
      <c r="N42" s="53"/>
      <c r="O42" s="53"/>
      <c r="P42" s="54">
        <f>IF(COUNTA($D$1:$O$1)&gt;0,SUM(D42:O42)*('Nota Khan'!$L$10/COUNTA($D$1:$O$1)),0)</f>
        <v>0</v>
      </c>
      <c r="Q42" s="55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" customHeight="1" x14ac:dyDescent="0.25">
      <c r="A43" s="46"/>
      <c r="B43" s="46"/>
      <c r="C43" s="5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>
        <f>IF(COUNTA($D$1:$O$1)&gt;0,SUM(D43:O43)*('Nota Khan'!$L$10/COUNTA($D$1:$O$1)),0)</f>
        <v>0</v>
      </c>
      <c r="Q43" s="49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5">
      <c r="A44" s="51"/>
      <c r="B44" s="51"/>
      <c r="C44" s="61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62">
        <f>IF(COUNTA($D$1:$O$1)&gt;0,SUM(D44:O44)*('Nota Khan'!$L$10/COUNTA($D$1:$O$1)),0)</f>
        <v>0</v>
      </c>
      <c r="Q44" s="55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5">
      <c r="A45" s="46"/>
      <c r="B45" s="46"/>
      <c r="C45" s="5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48">
        <f>IF(COUNTA($D$1:$O$1)&gt;0,SUM(D45:O45)*('Nota Khan'!$L$10/COUNTA($D$1:$O$1)),0)</f>
        <v>0</v>
      </c>
      <c r="Q45" s="49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5" x14ac:dyDescent="0.25">
      <c r="A46" s="51"/>
      <c r="B46" s="51"/>
      <c r="C46" s="61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62">
        <f>IF(COUNTA($D$1:$O$1)&gt;0,SUM(D46:O46)*('Nota Khan'!$L$10/COUNTA($D$1:$O$1)),0)</f>
        <v>0</v>
      </c>
      <c r="Q46" s="55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5" x14ac:dyDescent="0.25">
      <c r="A47" s="45"/>
      <c r="B47" s="45"/>
      <c r="C47" s="63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57">
        <f>IF(COUNTA($D$1:$O$1)&gt;0,SUM(D47:O47)*('Nota Khan'!$L$10/COUNTA($D$1:$O$1)),0)</f>
        <v>0</v>
      </c>
      <c r="Q47" s="26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4.25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36" ht="15.75" customHeight="1" thickBo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1:36" ht="36.6" customHeight="1" x14ac:dyDescent="0.2">
      <c r="A50" s="10"/>
      <c r="B50" s="10"/>
      <c r="C50" s="17" t="s">
        <v>15</v>
      </c>
      <c r="D50" s="15">
        <f t="shared" ref="D50:O50" si="0">COUNT(D3:D47)</f>
        <v>0</v>
      </c>
      <c r="E50" s="15">
        <f t="shared" si="0"/>
        <v>0</v>
      </c>
      <c r="F50" s="15">
        <f t="shared" si="0"/>
        <v>0</v>
      </c>
      <c r="G50" s="15">
        <f t="shared" si="0"/>
        <v>0</v>
      </c>
      <c r="H50" s="15">
        <f t="shared" si="0"/>
        <v>0</v>
      </c>
      <c r="I50" s="15">
        <f t="shared" si="0"/>
        <v>0</v>
      </c>
      <c r="J50" s="15">
        <f t="shared" si="0"/>
        <v>0</v>
      </c>
      <c r="K50" s="15">
        <f t="shared" si="0"/>
        <v>0</v>
      </c>
      <c r="L50" s="15">
        <f t="shared" si="0"/>
        <v>0</v>
      </c>
      <c r="M50" s="15">
        <f t="shared" si="0"/>
        <v>0</v>
      </c>
      <c r="N50" s="15">
        <f t="shared" si="0"/>
        <v>0</v>
      </c>
      <c r="O50" s="15">
        <f t="shared" si="0"/>
        <v>0</v>
      </c>
      <c r="P50" s="204" t="s">
        <v>9</v>
      </c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1:36" ht="36.6" customHeight="1" x14ac:dyDescent="0.2">
      <c r="A51" s="10"/>
      <c r="B51" s="10"/>
      <c r="C51" s="19" t="s">
        <v>16</v>
      </c>
      <c r="D51" s="20">
        <f t="shared" ref="D51:O51" si="1">D50/39</f>
        <v>0</v>
      </c>
      <c r="E51" s="20">
        <f t="shared" si="1"/>
        <v>0</v>
      </c>
      <c r="F51" s="20">
        <f t="shared" si="1"/>
        <v>0</v>
      </c>
      <c r="G51" s="20">
        <f t="shared" si="1"/>
        <v>0</v>
      </c>
      <c r="H51" s="20">
        <f t="shared" si="1"/>
        <v>0</v>
      </c>
      <c r="I51" s="20">
        <f t="shared" si="1"/>
        <v>0</v>
      </c>
      <c r="J51" s="20">
        <f t="shared" si="1"/>
        <v>0</v>
      </c>
      <c r="K51" s="20">
        <f t="shared" si="1"/>
        <v>0</v>
      </c>
      <c r="L51" s="20">
        <f t="shared" si="1"/>
        <v>0</v>
      </c>
      <c r="M51" s="20">
        <f t="shared" si="1"/>
        <v>0</v>
      </c>
      <c r="N51" s="20">
        <f t="shared" si="1"/>
        <v>0</v>
      </c>
      <c r="O51" s="20">
        <f t="shared" si="1"/>
        <v>0</v>
      </c>
      <c r="P51" s="205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1:36" ht="36.6" customHeight="1" x14ac:dyDescent="0.2">
      <c r="A52" s="10"/>
      <c r="B52" s="10"/>
      <c r="C52" s="18" t="s">
        <v>1</v>
      </c>
      <c r="D52" s="16">
        <f t="shared" ref="D52:O52" si="2">IF(SUM(D3:D42)=0,0,SUM(D3:D42)/D50)</f>
        <v>0</v>
      </c>
      <c r="E52" s="16">
        <f t="shared" si="2"/>
        <v>0</v>
      </c>
      <c r="F52" s="16">
        <f t="shared" si="2"/>
        <v>0</v>
      </c>
      <c r="G52" s="16">
        <f t="shared" si="2"/>
        <v>0</v>
      </c>
      <c r="H52" s="16">
        <f t="shared" si="2"/>
        <v>0</v>
      </c>
      <c r="I52" s="16">
        <f t="shared" si="2"/>
        <v>0</v>
      </c>
      <c r="J52" s="16">
        <f t="shared" si="2"/>
        <v>0</v>
      </c>
      <c r="K52" s="16">
        <f t="shared" si="2"/>
        <v>0</v>
      </c>
      <c r="L52" s="16">
        <f t="shared" si="2"/>
        <v>0</v>
      </c>
      <c r="M52" s="16">
        <f t="shared" si="2"/>
        <v>0</v>
      </c>
      <c r="N52" s="16">
        <f t="shared" si="2"/>
        <v>0</v>
      </c>
      <c r="O52" s="16">
        <f t="shared" si="2"/>
        <v>0</v>
      </c>
      <c r="P52" s="206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1:36" ht="36.6" customHeight="1" thickBot="1" x14ac:dyDescent="0.25">
      <c r="A53" s="10"/>
      <c r="B53" s="10"/>
      <c r="C53" s="21" t="s">
        <v>2</v>
      </c>
      <c r="D53" s="22">
        <f t="shared" ref="D53:K53" si="3">IF((D51+D52)=0,0,(D51+D52)/2)</f>
        <v>0</v>
      </c>
      <c r="E53" s="22">
        <f t="shared" si="3"/>
        <v>0</v>
      </c>
      <c r="F53" s="22">
        <f t="shared" si="3"/>
        <v>0</v>
      </c>
      <c r="G53" s="22">
        <f t="shared" si="3"/>
        <v>0</v>
      </c>
      <c r="H53" s="22">
        <f t="shared" si="3"/>
        <v>0</v>
      </c>
      <c r="I53" s="22">
        <f t="shared" si="3"/>
        <v>0</v>
      </c>
      <c r="J53" s="22">
        <f t="shared" si="3"/>
        <v>0</v>
      </c>
      <c r="K53" s="22">
        <f t="shared" si="3"/>
        <v>0</v>
      </c>
      <c r="L53" s="22">
        <f>IF((L51+L52)=0,0,(L51+L52)/2)</f>
        <v>0</v>
      </c>
      <c r="M53" s="22">
        <f>IF((M51+M52)=0,0,(M51+M52)/2)</f>
        <v>0</v>
      </c>
      <c r="N53" s="22">
        <f>IF((N51+N52)=0,0,(N51+N52)/2)</f>
        <v>0</v>
      </c>
      <c r="O53" s="22">
        <f>IF((O51+O52)=0,0,(O51+O52)/2)</f>
        <v>0</v>
      </c>
      <c r="P53" s="23">
        <f>IF(SUM(D53:O53)&gt;0,AVERAGEIF(D53:O53,"&gt;0"),0)</f>
        <v>0</v>
      </c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</row>
    <row r="54" spans="1:36" ht="15.75" customHeight="1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</row>
    <row r="55" spans="1:36" ht="15.75" hidden="1" customHeight="1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6" ht="15.75" hidden="1" customHeight="1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6" ht="15.75" hidden="1" customHeight="1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R57" s="10"/>
      <c r="S57" s="10"/>
      <c r="T57" s="10"/>
      <c r="U57" s="10"/>
    </row>
    <row r="58" spans="1:36" ht="15.75" hidden="1" customHeight="1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R58" s="10"/>
      <c r="S58" s="10"/>
      <c r="T58" s="10"/>
      <c r="U58" s="10"/>
    </row>
    <row r="59" spans="1:36" ht="15.75" hidden="1" customHeight="1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6" ht="15.75" hidden="1" customHeight="1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6" ht="15.75" hidden="1" customHeight="1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6" ht="15.75" hidden="1" customHeight="1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6" ht="15.75" hidden="1" customHeight="1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6" ht="15.75" hidden="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ht="15.75" hidden="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ht="15.75" hidden="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ht="15.75" hidden="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ht="15.75" hidden="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ht="15.75" hidden="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ht="15.75" hidden="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ht="15.75" hidden="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ht="15.75" hidden="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ht="15.75" hidden="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ht="15.75" hidden="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ht="15.75" hidden="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ht="15.75" hidden="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ht="15.75" hidden="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ht="15.75" hidden="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ht="15.75" hidden="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ht="15.75" hidden="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ht="15.75" hidden="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ht="15.75" hidden="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ht="15.75" hidden="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ht="15.75" hidden="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ht="15.75" hidden="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ht="15.75" hidden="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ht="15.75" hidden="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ht="15.75" hidden="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ht="15.75" hidden="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ht="15.75" hidden="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ht="15.75" hidden="1" customHeight="1" x14ac:dyDescent="0.2">
      <c r="A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22" ht="15.75" hidden="1" customHeight="1" x14ac:dyDescent="0.2">
      <c r="A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22" ht="15.75" hidden="1" customHeight="1" x14ac:dyDescent="0.2">
      <c r="A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22" ht="15.75" hidden="1" customHeight="1" x14ac:dyDescent="0.2">
      <c r="A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22" ht="15.75" hidden="1" customHeight="1" x14ac:dyDescent="0.2">
      <c r="A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22" ht="15.75" hidden="1" customHeight="1" x14ac:dyDescent="0.2">
      <c r="A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5.75" hidden="1" customHeight="1" x14ac:dyDescent="0.2">
      <c r="A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5.75" hidden="1" customHeight="1" x14ac:dyDescent="0.2">
      <c r="A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5.75" hidden="1" customHeight="1" x14ac:dyDescent="0.2">
      <c r="A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5.75" hidden="1" customHeight="1" x14ac:dyDescent="0.2">
      <c r="A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5.75" hidden="1" customHeight="1" x14ac:dyDescent="0.2">
      <c r="A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5.75" hidden="1" customHeight="1" x14ac:dyDescent="0.2">
      <c r="A102" s="3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5.75" hidden="1" customHeight="1" x14ac:dyDescent="0.2">
      <c r="A103" s="3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5.75" hidden="1" customHeight="1" x14ac:dyDescent="0.2">
      <c r="A104" s="3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5.75" hidden="1" customHeight="1" x14ac:dyDescent="0.2">
      <c r="A105" s="3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5.75" hidden="1" customHeight="1" x14ac:dyDescent="0.2">
      <c r="A106" s="3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5.75" hidden="1" customHeight="1" x14ac:dyDescent="0.2">
      <c r="A107" s="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5.75" hidden="1" customHeight="1" x14ac:dyDescent="0.2">
      <c r="A108" s="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5.75" hidden="1" customHeight="1" x14ac:dyDescent="0.2">
      <c r="A109" s="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5.75" hidden="1" customHeight="1" x14ac:dyDescent="0.2">
      <c r="A110" s="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5.75" hidden="1" customHeight="1" x14ac:dyDescent="0.2">
      <c r="A111" s="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5.75" hidden="1" customHeight="1" x14ac:dyDescent="0.2">
      <c r="A112" s="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5.75" hidden="1" customHeight="1" x14ac:dyDescent="0.2">
      <c r="A113" s="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5.75" hidden="1" customHeight="1" x14ac:dyDescent="0.2">
      <c r="A114" s="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5.75" hidden="1" customHeight="1" x14ac:dyDescent="0.2">
      <c r="A115" s="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5.75" hidden="1" customHeight="1" x14ac:dyDescent="0.2">
      <c r="A116" s="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5.75" hidden="1" customHeight="1" x14ac:dyDescent="0.2">
      <c r="A117" s="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5.75" hidden="1" customHeight="1" x14ac:dyDescent="0.2">
      <c r="A118" s="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5.75" hidden="1" customHeight="1" x14ac:dyDescent="0.2">
      <c r="A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5.75" hidden="1" customHeight="1" x14ac:dyDescent="0.2">
      <c r="A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5.75" hidden="1" customHeight="1" x14ac:dyDescent="0.2">
      <c r="A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5.75" hidden="1" customHeight="1" x14ac:dyDescent="0.2">
      <c r="A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5.75" hidden="1" customHeight="1" x14ac:dyDescent="0.2">
      <c r="A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5.75" hidden="1" customHeight="1" x14ac:dyDescent="0.2">
      <c r="A124" s="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5.75" hidden="1" customHeight="1" x14ac:dyDescent="0.2">
      <c r="A125" s="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5.75" hidden="1" customHeight="1" x14ac:dyDescent="0.2">
      <c r="A126" s="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5.75" hidden="1" customHeight="1" x14ac:dyDescent="0.2">
      <c r="A127" s="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5.75" hidden="1" customHeight="1" x14ac:dyDescent="0.2">
      <c r="A128" s="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5.75" hidden="1" customHeight="1" x14ac:dyDescent="0.2">
      <c r="A129" s="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5.75" hidden="1" customHeight="1" x14ac:dyDescent="0.2">
      <c r="A130" s="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5.75" hidden="1" customHeight="1" x14ac:dyDescent="0.2">
      <c r="A131" s="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5.75" hidden="1" customHeight="1" x14ac:dyDescent="0.2">
      <c r="A132" s="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5.75" hidden="1" customHeight="1" x14ac:dyDescent="0.2">
      <c r="A133" s="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5.75" hidden="1" customHeight="1" x14ac:dyDescent="0.2">
      <c r="A134" s="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5.75" hidden="1" customHeight="1" x14ac:dyDescent="0.2">
      <c r="A135" s="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5.75" hidden="1" customHeight="1" x14ac:dyDescent="0.2">
      <c r="A136" s="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5.75" hidden="1" customHeight="1" x14ac:dyDescent="0.2">
      <c r="A137" s="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5.75" hidden="1" customHeight="1" x14ac:dyDescent="0.2">
      <c r="A138" s="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5.75" hidden="1" customHeight="1" x14ac:dyDescent="0.2">
      <c r="A139" s="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5.75" hidden="1" customHeight="1" x14ac:dyDescent="0.2">
      <c r="A140" s="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5.75" hidden="1" customHeight="1" x14ac:dyDescent="0.2">
      <c r="A141" s="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5.75" hidden="1" customHeight="1" x14ac:dyDescent="0.2">
      <c r="A142" s="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5.75" hidden="1" customHeight="1" x14ac:dyDescent="0.2">
      <c r="A143" s="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5.75" hidden="1" customHeight="1" x14ac:dyDescent="0.2">
      <c r="A144" s="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5.75" hidden="1" customHeight="1" x14ac:dyDescent="0.2">
      <c r="A145" s="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5.75" hidden="1" customHeight="1" x14ac:dyDescent="0.2">
      <c r="A146" s="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5.75" hidden="1" customHeight="1" x14ac:dyDescent="0.2">
      <c r="A147" s="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5.75" hidden="1" customHeight="1" x14ac:dyDescent="0.2">
      <c r="A148" s="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5.75" hidden="1" customHeight="1" x14ac:dyDescent="0.2">
      <c r="A149" s="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5.75" hidden="1" customHeight="1" x14ac:dyDescent="0.2">
      <c r="A150" s="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5.75" hidden="1" customHeight="1" x14ac:dyDescent="0.2">
      <c r="A151" s="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5.75" hidden="1" customHeight="1" x14ac:dyDescent="0.2">
      <c r="A152" s="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5.75" hidden="1" customHeight="1" x14ac:dyDescent="0.2">
      <c r="A153" s="3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5.75" hidden="1" customHeight="1" x14ac:dyDescent="0.2">
      <c r="A154" s="3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5.75" hidden="1" customHeight="1" x14ac:dyDescent="0.2">
      <c r="A155" s="3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5.75" hidden="1" customHeight="1" x14ac:dyDescent="0.2">
      <c r="A156" s="3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5.75" hidden="1" customHeight="1" x14ac:dyDescent="0.2">
      <c r="A157" s="3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5.75" hidden="1" customHeight="1" x14ac:dyDescent="0.2">
      <c r="A158" s="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5.75" hidden="1" customHeight="1" x14ac:dyDescent="0.2">
      <c r="A159" s="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5.75" hidden="1" customHeight="1" x14ac:dyDescent="0.2">
      <c r="A160" s="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5.75" hidden="1" customHeight="1" x14ac:dyDescent="0.2">
      <c r="A161" s="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5.75" hidden="1" customHeight="1" x14ac:dyDescent="0.2">
      <c r="A162" s="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5.75" hidden="1" customHeight="1" x14ac:dyDescent="0.2">
      <c r="A163" s="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5.75" hidden="1" customHeight="1" x14ac:dyDescent="0.2">
      <c r="A164" s="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5.75" hidden="1" customHeight="1" x14ac:dyDescent="0.2">
      <c r="A165" s="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5.75" hidden="1" customHeight="1" x14ac:dyDescent="0.2">
      <c r="A166" s="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5.75" hidden="1" customHeight="1" x14ac:dyDescent="0.2">
      <c r="A167" s="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5.75" hidden="1" customHeight="1" x14ac:dyDescent="0.2">
      <c r="A168" s="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5.75" hidden="1" customHeight="1" x14ac:dyDescent="0.2">
      <c r="A169" s="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5.75" hidden="1" customHeight="1" x14ac:dyDescent="0.2">
      <c r="A170" s="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5.75" hidden="1" customHeight="1" x14ac:dyDescent="0.2">
      <c r="A171" s="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5.75" hidden="1" customHeight="1" x14ac:dyDescent="0.2">
      <c r="A172" s="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5.75" hidden="1" customHeight="1" x14ac:dyDescent="0.2">
      <c r="A173" s="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5.75" hidden="1" customHeight="1" x14ac:dyDescent="0.2">
      <c r="A174" s="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5.75" hidden="1" customHeight="1" x14ac:dyDescent="0.2">
      <c r="A175" s="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5.75" hidden="1" customHeight="1" x14ac:dyDescent="0.2">
      <c r="A176" s="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5.75" hidden="1" customHeight="1" x14ac:dyDescent="0.2">
      <c r="A177" s="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5.75" hidden="1" customHeight="1" x14ac:dyDescent="0.2">
      <c r="A178" s="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5.75" hidden="1" customHeight="1" x14ac:dyDescent="0.2">
      <c r="A179" s="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5.75" hidden="1" customHeight="1" x14ac:dyDescent="0.2">
      <c r="A180" s="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5.75" hidden="1" customHeight="1" x14ac:dyDescent="0.2">
      <c r="A181" s="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5.75" hidden="1" customHeight="1" x14ac:dyDescent="0.2">
      <c r="A182" s="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5.75" hidden="1" customHeight="1" x14ac:dyDescent="0.2">
      <c r="A183" s="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5.75" hidden="1" customHeight="1" x14ac:dyDescent="0.2">
      <c r="A184" s="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5.75" hidden="1" customHeight="1" x14ac:dyDescent="0.2">
      <c r="A185" s="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5.75" hidden="1" customHeight="1" x14ac:dyDescent="0.2">
      <c r="A186" s="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5.75" hidden="1" customHeight="1" x14ac:dyDescent="0.2">
      <c r="A187" s="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5.75" hidden="1" customHeight="1" x14ac:dyDescent="0.2">
      <c r="A188" s="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5.75" hidden="1" customHeight="1" x14ac:dyDescent="0.2">
      <c r="A189" s="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5.75" hidden="1" customHeight="1" x14ac:dyDescent="0.2">
      <c r="A190" s="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5.75" hidden="1" customHeight="1" x14ac:dyDescent="0.2">
      <c r="A191" s="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5.75" hidden="1" customHeight="1" x14ac:dyDescent="0.2">
      <c r="A192" s="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5.75" hidden="1" customHeight="1" x14ac:dyDescent="0.2">
      <c r="A193" s="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5.75" hidden="1" customHeight="1" x14ac:dyDescent="0.2">
      <c r="A194" s="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5.75" hidden="1" customHeight="1" x14ac:dyDescent="0.2">
      <c r="A195" s="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5.75" hidden="1" customHeight="1" x14ac:dyDescent="0.2">
      <c r="A196" s="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5.75" hidden="1" customHeight="1" x14ac:dyDescent="0.2">
      <c r="A197" s="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5.75" hidden="1" customHeight="1" x14ac:dyDescent="0.2">
      <c r="A198" s="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5.75" hidden="1" customHeight="1" x14ac:dyDescent="0.2">
      <c r="A199" s="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5.75" hidden="1" customHeight="1" x14ac:dyDescent="0.2">
      <c r="A200" s="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5.75" hidden="1" customHeight="1" x14ac:dyDescent="0.2">
      <c r="A201" s="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5.75" hidden="1" customHeight="1" x14ac:dyDescent="0.2">
      <c r="A202" s="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5.75" hidden="1" customHeight="1" x14ac:dyDescent="0.2">
      <c r="A203" s="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5.75" hidden="1" customHeight="1" x14ac:dyDescent="0.2">
      <c r="A204" s="3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5.75" hidden="1" customHeight="1" x14ac:dyDescent="0.2">
      <c r="A205" s="3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5.75" hidden="1" customHeight="1" x14ac:dyDescent="0.2">
      <c r="A206" s="3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5.75" hidden="1" customHeight="1" x14ac:dyDescent="0.2">
      <c r="A207" s="3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5.75" hidden="1" customHeight="1" x14ac:dyDescent="0.2">
      <c r="A208" s="3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5.75" hidden="1" customHeight="1" x14ac:dyDescent="0.2">
      <c r="A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5.75" hidden="1" customHeight="1" x14ac:dyDescent="0.2">
      <c r="A210" s="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5.75" hidden="1" customHeight="1" x14ac:dyDescent="0.2">
      <c r="A211" s="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5.75" hidden="1" customHeight="1" x14ac:dyDescent="0.2">
      <c r="A212" s="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5.75" hidden="1" customHeight="1" x14ac:dyDescent="0.2">
      <c r="A213" s="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5.75" hidden="1" customHeight="1" x14ac:dyDescent="0.2">
      <c r="A214" s="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5.75" hidden="1" customHeight="1" x14ac:dyDescent="0.2">
      <c r="A215" s="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5.75" hidden="1" customHeight="1" x14ac:dyDescent="0.2">
      <c r="A216" s="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5.75" hidden="1" customHeight="1" x14ac:dyDescent="0.2">
      <c r="A217" s="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5.75" hidden="1" customHeight="1" x14ac:dyDescent="0.2">
      <c r="A218" s="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5.75" hidden="1" customHeight="1" x14ac:dyDescent="0.2">
      <c r="A219" s="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5.75" hidden="1" customHeight="1" x14ac:dyDescent="0.2">
      <c r="A220" s="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5.75" hidden="1" customHeight="1" x14ac:dyDescent="0.2">
      <c r="A221" s="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5.75" hidden="1" customHeight="1" x14ac:dyDescent="0.2">
      <c r="A222" s="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5.75" hidden="1" customHeight="1" x14ac:dyDescent="0.2">
      <c r="A223" s="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5.75" hidden="1" customHeight="1" x14ac:dyDescent="0.2">
      <c r="A224" s="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5.75" hidden="1" customHeight="1" x14ac:dyDescent="0.2">
      <c r="A225" s="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5.75" hidden="1" customHeight="1" x14ac:dyDescent="0.2">
      <c r="A226" s="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5.75" hidden="1" customHeight="1" x14ac:dyDescent="0.2">
      <c r="A227" s="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5.75" hidden="1" customHeight="1" x14ac:dyDescent="0.2">
      <c r="A228" s="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5.75" hidden="1" customHeight="1" x14ac:dyDescent="0.2">
      <c r="A229" s="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5.75" hidden="1" customHeight="1" x14ac:dyDescent="0.2">
      <c r="A230" s="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5.75" hidden="1" customHeight="1" x14ac:dyDescent="0.2">
      <c r="A231" s="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5.75" hidden="1" customHeight="1" x14ac:dyDescent="0.2">
      <c r="A232" s="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5.75" hidden="1" customHeight="1" x14ac:dyDescent="0.2">
      <c r="A233" s="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5.75" hidden="1" customHeight="1" x14ac:dyDescent="0.2">
      <c r="A234" s="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5.75" hidden="1" customHeight="1" x14ac:dyDescent="0.2">
      <c r="A235" s="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5.75" hidden="1" customHeight="1" x14ac:dyDescent="0.2">
      <c r="A236" s="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5.75" hidden="1" customHeight="1" x14ac:dyDescent="0.2">
      <c r="A237" s="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5.75" hidden="1" customHeight="1" x14ac:dyDescent="0.2">
      <c r="A238" s="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5.75" hidden="1" customHeight="1" x14ac:dyDescent="0.2">
      <c r="A239" s="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5.75" hidden="1" customHeight="1" x14ac:dyDescent="0.2">
      <c r="A240" s="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5.75" hidden="1" customHeight="1" x14ac:dyDescent="0.2">
      <c r="A241" s="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5.75" hidden="1" customHeight="1" x14ac:dyDescent="0.2">
      <c r="A242" s="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5.75" hidden="1" customHeight="1" x14ac:dyDescent="0.2">
      <c r="A243" s="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5.75" hidden="1" customHeight="1" x14ac:dyDescent="0.2">
      <c r="A244" s="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5.75" hidden="1" customHeight="1" x14ac:dyDescent="0.2">
      <c r="A245" s="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5.75" hidden="1" customHeight="1" x14ac:dyDescent="0.2">
      <c r="A246" s="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5.75" hidden="1" customHeight="1" x14ac:dyDescent="0.2">
      <c r="A247" s="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5.75" hidden="1" customHeight="1" x14ac:dyDescent="0.2">
      <c r="A248" s="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5.75" hidden="1" customHeight="1" x14ac:dyDescent="0.2">
      <c r="A249" s="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5.75" hidden="1" customHeight="1" x14ac:dyDescent="0.2">
      <c r="A250" s="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5.75" hidden="1" customHeight="1" x14ac:dyDescent="0.2">
      <c r="A251" s="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5.75" hidden="1" customHeight="1" x14ac:dyDescent="0.2">
      <c r="A252" s="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5.75" hidden="1" customHeight="1" x14ac:dyDescent="0.2">
      <c r="A253" s="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5.75" hidden="1" customHeight="1" x14ac:dyDescent="0.2">
      <c r="A254" s="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5.75" hidden="1" customHeight="1" x14ac:dyDescent="0.2">
      <c r="A255" s="3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5.75" hidden="1" customHeight="1" x14ac:dyDescent="0.2">
      <c r="A256" s="3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5.75" hidden="1" customHeight="1" x14ac:dyDescent="0.2">
      <c r="A257" s="3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5.75" hidden="1" customHeight="1" x14ac:dyDescent="0.2">
      <c r="A258" s="3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5.75" hidden="1" customHeight="1" x14ac:dyDescent="0.2">
      <c r="A259" s="3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5.75" hidden="1" customHeight="1" x14ac:dyDescent="0.2">
      <c r="A260" s="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5.75" hidden="1" customHeight="1" x14ac:dyDescent="0.2">
      <c r="A261" s="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5.75" hidden="1" customHeight="1" x14ac:dyDescent="0.2">
      <c r="A262" s="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5.75" hidden="1" customHeight="1" x14ac:dyDescent="0.2">
      <c r="A263" s="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5.75" hidden="1" customHeight="1" x14ac:dyDescent="0.2">
      <c r="A264" s="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5.75" hidden="1" customHeight="1" x14ac:dyDescent="0.2">
      <c r="A265" s="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5.75" hidden="1" customHeight="1" x14ac:dyDescent="0.2">
      <c r="A266" s="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5.75" hidden="1" customHeight="1" x14ac:dyDescent="0.2">
      <c r="A267" s="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5.75" hidden="1" customHeight="1" x14ac:dyDescent="0.2">
      <c r="A268" s="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5.75" hidden="1" customHeight="1" x14ac:dyDescent="0.2">
      <c r="A269" s="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5.75" hidden="1" customHeight="1" x14ac:dyDescent="0.2">
      <c r="A270" s="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5.75" hidden="1" customHeight="1" x14ac:dyDescent="0.2">
      <c r="A271" s="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5.75" hidden="1" customHeight="1" x14ac:dyDescent="0.2">
      <c r="A272" s="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5.75" hidden="1" customHeight="1" x14ac:dyDescent="0.2">
      <c r="A273" s="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5.75" hidden="1" customHeight="1" x14ac:dyDescent="0.2">
      <c r="A274" s="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5.75" hidden="1" customHeight="1" x14ac:dyDescent="0.2">
      <c r="A275" s="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5.75" hidden="1" customHeight="1" x14ac:dyDescent="0.2">
      <c r="A276" s="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5.75" hidden="1" customHeight="1" x14ac:dyDescent="0.2">
      <c r="A277" s="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5.75" hidden="1" customHeight="1" x14ac:dyDescent="0.2">
      <c r="A278" s="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5.75" hidden="1" customHeight="1" x14ac:dyDescent="0.2">
      <c r="A279" s="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5.75" hidden="1" customHeight="1" x14ac:dyDescent="0.2">
      <c r="A280" s="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5.75" hidden="1" customHeight="1" x14ac:dyDescent="0.2">
      <c r="A281" s="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5.75" hidden="1" customHeight="1" x14ac:dyDescent="0.2">
      <c r="A282" s="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5.75" hidden="1" customHeight="1" x14ac:dyDescent="0.2">
      <c r="A283" s="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5.75" hidden="1" customHeight="1" x14ac:dyDescent="0.2">
      <c r="A284" s="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5.75" hidden="1" customHeight="1" x14ac:dyDescent="0.2">
      <c r="A285" s="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5.75" hidden="1" customHeight="1" x14ac:dyDescent="0.2">
      <c r="A286" s="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5.75" hidden="1" customHeight="1" x14ac:dyDescent="0.2">
      <c r="A287" s="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5.75" hidden="1" customHeight="1" x14ac:dyDescent="0.2">
      <c r="A288" s="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5.75" hidden="1" customHeight="1" x14ac:dyDescent="0.2">
      <c r="A289" s="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5.75" hidden="1" customHeight="1" x14ac:dyDescent="0.2">
      <c r="A290" s="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5.75" hidden="1" customHeight="1" x14ac:dyDescent="0.2">
      <c r="A291" s="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5.75" hidden="1" customHeight="1" x14ac:dyDescent="0.2">
      <c r="A292" s="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5.75" hidden="1" customHeight="1" x14ac:dyDescent="0.2">
      <c r="A293" s="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5.75" hidden="1" customHeight="1" x14ac:dyDescent="0.2">
      <c r="A294" s="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5.75" hidden="1" customHeight="1" x14ac:dyDescent="0.2">
      <c r="A295" s="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5.75" hidden="1" customHeight="1" x14ac:dyDescent="0.2">
      <c r="A296" s="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5.75" hidden="1" customHeight="1" x14ac:dyDescent="0.2">
      <c r="A297" s="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5.75" hidden="1" customHeight="1" x14ac:dyDescent="0.2">
      <c r="A298" s="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5.75" hidden="1" customHeight="1" x14ac:dyDescent="0.2">
      <c r="A299" s="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5.75" hidden="1" customHeight="1" x14ac:dyDescent="0.2">
      <c r="A300" s="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5.75" hidden="1" customHeight="1" x14ac:dyDescent="0.2">
      <c r="A301" s="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5.75" hidden="1" customHeight="1" x14ac:dyDescent="0.2">
      <c r="A302" s="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5.75" hidden="1" customHeight="1" x14ac:dyDescent="0.2">
      <c r="A303" s="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5.75" hidden="1" customHeight="1" x14ac:dyDescent="0.2">
      <c r="A304" s="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5.75" hidden="1" customHeight="1" x14ac:dyDescent="0.2">
      <c r="A305" s="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5.75" hidden="1" customHeight="1" x14ac:dyDescent="0.2">
      <c r="A306" s="3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5.75" hidden="1" customHeight="1" x14ac:dyDescent="0.2">
      <c r="A307" s="3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5.75" hidden="1" customHeight="1" x14ac:dyDescent="0.2">
      <c r="A308" s="3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5.75" hidden="1" customHeight="1" x14ac:dyDescent="0.2">
      <c r="A309" s="3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5.75" hidden="1" customHeight="1" x14ac:dyDescent="0.2">
      <c r="A310" s="3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5.75" hidden="1" customHeight="1" x14ac:dyDescent="0.2">
      <c r="A311" s="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5.75" hidden="1" customHeight="1" x14ac:dyDescent="0.2">
      <c r="A312" s="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5.75" hidden="1" customHeight="1" x14ac:dyDescent="0.2">
      <c r="A313" s="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5.75" hidden="1" customHeight="1" x14ac:dyDescent="0.2">
      <c r="A314" s="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5.75" hidden="1" customHeight="1" x14ac:dyDescent="0.2">
      <c r="A315" s="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5.75" hidden="1" customHeight="1" x14ac:dyDescent="0.2">
      <c r="A316" s="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5.75" hidden="1" customHeight="1" x14ac:dyDescent="0.2">
      <c r="A317" s="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5.75" hidden="1" customHeight="1" x14ac:dyDescent="0.2">
      <c r="A318" s="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5.75" hidden="1" customHeight="1" x14ac:dyDescent="0.2">
      <c r="A319" s="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5.75" hidden="1" customHeight="1" x14ac:dyDescent="0.2">
      <c r="A320" s="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5.75" hidden="1" customHeight="1" x14ac:dyDescent="0.2">
      <c r="A321" s="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5.75" hidden="1" customHeight="1" x14ac:dyDescent="0.2">
      <c r="A322" s="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5.75" hidden="1" customHeight="1" x14ac:dyDescent="0.2">
      <c r="A323" s="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5.75" hidden="1" customHeight="1" x14ac:dyDescent="0.2">
      <c r="A324" s="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5.75" hidden="1" customHeight="1" x14ac:dyDescent="0.2">
      <c r="A325" s="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5.75" hidden="1" customHeight="1" x14ac:dyDescent="0.2">
      <c r="A326" s="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5.75" hidden="1" customHeight="1" x14ac:dyDescent="0.2">
      <c r="A327" s="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5.75" hidden="1" customHeight="1" x14ac:dyDescent="0.2">
      <c r="A328" s="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5.75" hidden="1" customHeight="1" x14ac:dyDescent="0.2">
      <c r="A329" s="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5.75" hidden="1" customHeight="1" x14ac:dyDescent="0.2">
      <c r="A330" s="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5.75" hidden="1" customHeight="1" x14ac:dyDescent="0.2">
      <c r="A331" s="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5.75" hidden="1" customHeight="1" x14ac:dyDescent="0.2">
      <c r="A332" s="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5.75" hidden="1" customHeight="1" x14ac:dyDescent="0.2">
      <c r="A333" s="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5.75" hidden="1" customHeight="1" x14ac:dyDescent="0.2">
      <c r="A334" s="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5.75" hidden="1" customHeight="1" x14ac:dyDescent="0.2">
      <c r="A335" s="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5.75" hidden="1" customHeight="1" x14ac:dyDescent="0.2">
      <c r="A336" s="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5.75" hidden="1" customHeight="1" x14ac:dyDescent="0.2">
      <c r="A337" s="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5.75" hidden="1" customHeight="1" x14ac:dyDescent="0.2">
      <c r="A338" s="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5.75" hidden="1" customHeight="1" x14ac:dyDescent="0.2">
      <c r="A339" s="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5.75" hidden="1" customHeight="1" x14ac:dyDescent="0.2">
      <c r="A340" s="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5.75" hidden="1" customHeight="1" x14ac:dyDescent="0.2">
      <c r="A341" s="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5.75" hidden="1" customHeight="1" x14ac:dyDescent="0.2">
      <c r="A342" s="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5.75" hidden="1" customHeight="1" x14ac:dyDescent="0.2">
      <c r="A343" s="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5.75" hidden="1" customHeight="1" x14ac:dyDescent="0.2">
      <c r="A344" s="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5.75" hidden="1" customHeight="1" x14ac:dyDescent="0.2">
      <c r="A345" s="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5.75" hidden="1" customHeight="1" x14ac:dyDescent="0.2">
      <c r="A346" s="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5.75" hidden="1" customHeight="1" x14ac:dyDescent="0.2">
      <c r="A347" s="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5.75" hidden="1" customHeight="1" x14ac:dyDescent="0.2">
      <c r="A348" s="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5.75" hidden="1" customHeight="1" x14ac:dyDescent="0.2">
      <c r="A349" s="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5.75" hidden="1" customHeight="1" x14ac:dyDescent="0.2">
      <c r="A350" s="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5.75" hidden="1" customHeight="1" x14ac:dyDescent="0.2">
      <c r="A351" s="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5.75" hidden="1" customHeight="1" x14ac:dyDescent="0.2">
      <c r="A352" s="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5.75" hidden="1" customHeight="1" x14ac:dyDescent="0.2">
      <c r="A353" s="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5.75" hidden="1" customHeight="1" x14ac:dyDescent="0.2">
      <c r="A354" s="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5.75" hidden="1" customHeight="1" x14ac:dyDescent="0.2">
      <c r="A355" s="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5.75" hidden="1" customHeight="1" x14ac:dyDescent="0.2">
      <c r="A356" s="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5.75" hidden="1" customHeight="1" x14ac:dyDescent="0.2">
      <c r="A357" s="3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5.75" hidden="1" customHeight="1" x14ac:dyDescent="0.2">
      <c r="A358" s="3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5.75" hidden="1" customHeight="1" x14ac:dyDescent="0.2">
      <c r="A359" s="3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5.75" hidden="1" customHeight="1" x14ac:dyDescent="0.2">
      <c r="A360" s="3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5.75" hidden="1" customHeight="1" x14ac:dyDescent="0.2">
      <c r="A361" s="3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5.75" hidden="1" customHeight="1" x14ac:dyDescent="0.2">
      <c r="A362" s="3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5.75" hidden="1" customHeight="1" x14ac:dyDescent="0.2">
      <c r="A363" s="3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5.75" hidden="1" customHeight="1" x14ac:dyDescent="0.2">
      <c r="A364" s="3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5.75" hidden="1" customHeight="1" x14ac:dyDescent="0.2">
      <c r="A365" s="3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5.75" hidden="1" customHeight="1" x14ac:dyDescent="0.2">
      <c r="A366" s="3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5.75" hidden="1" customHeight="1" x14ac:dyDescent="0.2">
      <c r="A367" s="3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5.75" hidden="1" customHeight="1" x14ac:dyDescent="0.2">
      <c r="A368" s="3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5.75" hidden="1" customHeight="1" x14ac:dyDescent="0.2">
      <c r="A369" s="3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5.75" hidden="1" customHeight="1" x14ac:dyDescent="0.2">
      <c r="A370" s="3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5.75" hidden="1" customHeight="1" x14ac:dyDescent="0.2">
      <c r="A371" s="3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5.75" hidden="1" customHeight="1" x14ac:dyDescent="0.2">
      <c r="A372" s="3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5.75" hidden="1" customHeight="1" x14ac:dyDescent="0.2">
      <c r="A373" s="3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5.75" hidden="1" customHeight="1" x14ac:dyDescent="0.2">
      <c r="A374" s="3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5.75" hidden="1" customHeight="1" x14ac:dyDescent="0.2">
      <c r="A375" s="3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5.75" hidden="1" customHeight="1" x14ac:dyDescent="0.2">
      <c r="A376" s="3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5.75" hidden="1" customHeight="1" x14ac:dyDescent="0.2">
      <c r="A377" s="3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5.75" hidden="1" customHeight="1" x14ac:dyDescent="0.2">
      <c r="A378" s="3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5.75" hidden="1" customHeight="1" x14ac:dyDescent="0.2">
      <c r="A379" s="3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5.75" hidden="1" customHeight="1" x14ac:dyDescent="0.2">
      <c r="A380" s="3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5.75" hidden="1" customHeight="1" x14ac:dyDescent="0.2">
      <c r="A381" s="3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5.75" hidden="1" customHeight="1" x14ac:dyDescent="0.2">
      <c r="A382" s="3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5.75" hidden="1" customHeight="1" x14ac:dyDescent="0.2">
      <c r="A383" s="3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5.75" hidden="1" customHeight="1" x14ac:dyDescent="0.2">
      <c r="A384" s="3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5.75" hidden="1" customHeight="1" x14ac:dyDescent="0.2">
      <c r="A385" s="3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5.75" hidden="1" customHeight="1" x14ac:dyDescent="0.2">
      <c r="A386" s="3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5.75" hidden="1" customHeight="1" x14ac:dyDescent="0.2">
      <c r="A387" s="3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5.75" hidden="1" customHeight="1" x14ac:dyDescent="0.2">
      <c r="A388" s="3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5.75" hidden="1" customHeight="1" x14ac:dyDescent="0.2">
      <c r="A389" s="3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5.75" hidden="1" customHeight="1" x14ac:dyDescent="0.2">
      <c r="A390" s="3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5.75" hidden="1" customHeight="1" x14ac:dyDescent="0.2">
      <c r="A391" s="3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5.75" hidden="1" customHeight="1" x14ac:dyDescent="0.2">
      <c r="A392" s="3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5.75" hidden="1" customHeight="1" x14ac:dyDescent="0.2">
      <c r="A393" s="3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5.75" hidden="1" customHeight="1" x14ac:dyDescent="0.2">
      <c r="A394" s="3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5.75" hidden="1" customHeight="1" x14ac:dyDescent="0.2">
      <c r="A395" s="3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5.75" hidden="1" customHeight="1" x14ac:dyDescent="0.2">
      <c r="A396" s="3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5.75" hidden="1" customHeight="1" x14ac:dyDescent="0.2">
      <c r="A397" s="3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5.75" hidden="1" customHeight="1" x14ac:dyDescent="0.2">
      <c r="A398" s="3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5.75" hidden="1" customHeight="1" x14ac:dyDescent="0.2">
      <c r="A399" s="3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5.75" hidden="1" customHeight="1" x14ac:dyDescent="0.2">
      <c r="A400" s="3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5.75" hidden="1" customHeight="1" x14ac:dyDescent="0.2">
      <c r="A401" s="3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5.75" hidden="1" customHeight="1" x14ac:dyDescent="0.2">
      <c r="A402" s="3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5.75" hidden="1" customHeight="1" x14ac:dyDescent="0.2">
      <c r="A403" s="3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5.75" hidden="1" customHeight="1" x14ac:dyDescent="0.2">
      <c r="A404" s="3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5.75" hidden="1" customHeight="1" x14ac:dyDescent="0.2">
      <c r="A405" s="3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5.75" hidden="1" customHeight="1" x14ac:dyDescent="0.2">
      <c r="A406" s="3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5.75" hidden="1" customHeight="1" x14ac:dyDescent="0.2">
      <c r="A407" s="3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5.75" hidden="1" customHeight="1" x14ac:dyDescent="0.2">
      <c r="A408" s="3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5.75" hidden="1" customHeight="1" x14ac:dyDescent="0.2">
      <c r="A409" s="3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5.75" hidden="1" customHeight="1" x14ac:dyDescent="0.2">
      <c r="A410" s="3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5.75" hidden="1" customHeight="1" x14ac:dyDescent="0.2">
      <c r="A411" s="3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5.75" hidden="1" customHeight="1" x14ac:dyDescent="0.2">
      <c r="A412" s="3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5.75" hidden="1" customHeight="1" x14ac:dyDescent="0.2">
      <c r="A413" s="3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5.75" hidden="1" customHeight="1" x14ac:dyDescent="0.2">
      <c r="A414" s="3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5.75" hidden="1" customHeight="1" x14ac:dyDescent="0.2">
      <c r="A415" s="3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5.75" hidden="1" customHeight="1" x14ac:dyDescent="0.2">
      <c r="A416" s="3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5.75" hidden="1" customHeight="1" x14ac:dyDescent="0.2">
      <c r="A417" s="3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5.75" hidden="1" customHeight="1" x14ac:dyDescent="0.2">
      <c r="A418" s="3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5.75" hidden="1" customHeight="1" x14ac:dyDescent="0.2">
      <c r="A419" s="3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5.75" hidden="1" customHeight="1" x14ac:dyDescent="0.2">
      <c r="A420" s="3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5.75" hidden="1" customHeight="1" x14ac:dyDescent="0.2">
      <c r="A421" s="3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5.75" hidden="1" customHeight="1" x14ac:dyDescent="0.2">
      <c r="A422" s="3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5.75" hidden="1" customHeight="1" x14ac:dyDescent="0.2">
      <c r="A423" s="3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5.75" hidden="1" customHeight="1" x14ac:dyDescent="0.2">
      <c r="A424" s="3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5.75" hidden="1" customHeight="1" x14ac:dyDescent="0.2">
      <c r="A425" s="3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5.75" hidden="1" customHeight="1" x14ac:dyDescent="0.2">
      <c r="A426" s="3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5.75" hidden="1" customHeight="1" x14ac:dyDescent="0.2">
      <c r="A427" s="3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5.75" hidden="1" customHeight="1" x14ac:dyDescent="0.2">
      <c r="A428" s="3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5.75" hidden="1" customHeight="1" x14ac:dyDescent="0.2">
      <c r="A429" s="3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5.75" hidden="1" customHeight="1" x14ac:dyDescent="0.2">
      <c r="A430" s="3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5.75" hidden="1" customHeight="1" x14ac:dyDescent="0.2">
      <c r="A431" s="3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5.75" hidden="1" customHeight="1" x14ac:dyDescent="0.2">
      <c r="A432" s="3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5.75" hidden="1" customHeight="1" x14ac:dyDescent="0.2">
      <c r="A433" s="3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5.75" hidden="1" customHeight="1" x14ac:dyDescent="0.2">
      <c r="A434" s="3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5.75" hidden="1" customHeight="1" x14ac:dyDescent="0.2">
      <c r="A435" s="3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5.75" hidden="1" customHeight="1" x14ac:dyDescent="0.2">
      <c r="A436" s="3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5.75" hidden="1" customHeight="1" x14ac:dyDescent="0.2">
      <c r="A437" s="3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5.75" hidden="1" customHeight="1" x14ac:dyDescent="0.2">
      <c r="A438" s="3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5.75" hidden="1" customHeight="1" x14ac:dyDescent="0.2">
      <c r="A439" s="3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5.75" hidden="1" customHeight="1" x14ac:dyDescent="0.2">
      <c r="A440" s="3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5.75" hidden="1" customHeight="1" x14ac:dyDescent="0.2">
      <c r="A441" s="3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5.75" hidden="1" customHeight="1" x14ac:dyDescent="0.2">
      <c r="A442" s="3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5.75" hidden="1" customHeight="1" x14ac:dyDescent="0.2">
      <c r="A443" s="3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5.75" hidden="1" customHeight="1" x14ac:dyDescent="0.2">
      <c r="A444" s="3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5.75" hidden="1" customHeight="1" x14ac:dyDescent="0.2">
      <c r="A445" s="3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5.75" hidden="1" customHeight="1" x14ac:dyDescent="0.2">
      <c r="A446" s="3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5.75" hidden="1" customHeight="1" x14ac:dyDescent="0.2">
      <c r="A447" s="3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5.75" hidden="1" customHeight="1" x14ac:dyDescent="0.2">
      <c r="A448" s="3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5.75" hidden="1" customHeight="1" x14ac:dyDescent="0.2">
      <c r="A449" s="3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5.75" hidden="1" customHeight="1" x14ac:dyDescent="0.2">
      <c r="A450" s="3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5.75" hidden="1" customHeight="1" x14ac:dyDescent="0.2">
      <c r="A451" s="3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5.75" hidden="1" customHeight="1" x14ac:dyDescent="0.2">
      <c r="A452" s="3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5.75" hidden="1" customHeight="1" x14ac:dyDescent="0.2">
      <c r="A453" s="3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5.75" hidden="1" customHeight="1" x14ac:dyDescent="0.2">
      <c r="A454" s="3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5.75" hidden="1" customHeight="1" x14ac:dyDescent="0.2">
      <c r="A455" s="3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5.75" hidden="1" customHeight="1" x14ac:dyDescent="0.2">
      <c r="A456" s="3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5.75" hidden="1" customHeight="1" x14ac:dyDescent="0.2">
      <c r="A457" s="3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5.75" hidden="1" customHeight="1" x14ac:dyDescent="0.2">
      <c r="A458" s="3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5.75" hidden="1" customHeight="1" x14ac:dyDescent="0.2">
      <c r="A459" s="3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5.75" hidden="1" customHeight="1" x14ac:dyDescent="0.2">
      <c r="A460" s="3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5.75" hidden="1" customHeight="1" x14ac:dyDescent="0.2">
      <c r="A461" s="3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5.75" hidden="1" customHeight="1" x14ac:dyDescent="0.2">
      <c r="A462" s="3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5.75" hidden="1" customHeight="1" x14ac:dyDescent="0.2">
      <c r="A463" s="3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5.75" hidden="1" customHeight="1" x14ac:dyDescent="0.2">
      <c r="A464" s="3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5.75" hidden="1" customHeight="1" x14ac:dyDescent="0.2">
      <c r="A465" s="3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5.75" hidden="1" customHeight="1" x14ac:dyDescent="0.2">
      <c r="A466" s="3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5.75" hidden="1" customHeight="1" x14ac:dyDescent="0.2">
      <c r="A467" s="3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5.75" hidden="1" customHeight="1" x14ac:dyDescent="0.2">
      <c r="A468" s="3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5.75" hidden="1" customHeight="1" x14ac:dyDescent="0.2">
      <c r="A469" s="3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5.75" hidden="1" customHeight="1" x14ac:dyDescent="0.2">
      <c r="A470" s="3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5.75" hidden="1" customHeight="1" x14ac:dyDescent="0.2">
      <c r="A471" s="3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5.75" hidden="1" customHeight="1" x14ac:dyDescent="0.2">
      <c r="A472" s="3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5.75" hidden="1" customHeight="1" x14ac:dyDescent="0.2">
      <c r="A473" s="3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5.75" hidden="1" customHeight="1" x14ac:dyDescent="0.2">
      <c r="A474" s="3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5.75" hidden="1" customHeight="1" x14ac:dyDescent="0.2">
      <c r="A475" s="3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5.75" hidden="1" customHeight="1" x14ac:dyDescent="0.2">
      <c r="A476" s="3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5.75" hidden="1" customHeight="1" x14ac:dyDescent="0.2">
      <c r="A477" s="3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5.75" hidden="1" customHeight="1" x14ac:dyDescent="0.2">
      <c r="A478" s="3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5.75" hidden="1" customHeight="1" x14ac:dyDescent="0.2">
      <c r="A479" s="3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5.75" hidden="1" customHeight="1" x14ac:dyDescent="0.2">
      <c r="A480" s="3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5.75" hidden="1" customHeight="1" x14ac:dyDescent="0.2">
      <c r="A481" s="3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5.75" hidden="1" customHeight="1" x14ac:dyDescent="0.2">
      <c r="A482" s="3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5.75" hidden="1" customHeight="1" x14ac:dyDescent="0.2">
      <c r="A483" s="3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5.75" hidden="1" customHeight="1" x14ac:dyDescent="0.2">
      <c r="A484" s="3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5.75" hidden="1" customHeight="1" x14ac:dyDescent="0.2">
      <c r="A485" s="3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5.75" hidden="1" customHeight="1" x14ac:dyDescent="0.2">
      <c r="A486" s="3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5.75" hidden="1" customHeight="1" x14ac:dyDescent="0.2">
      <c r="A487" s="3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5.75" hidden="1" customHeight="1" x14ac:dyDescent="0.2">
      <c r="A488" s="3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5.75" hidden="1" customHeight="1" x14ac:dyDescent="0.2">
      <c r="A489" s="3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5.75" hidden="1" customHeight="1" x14ac:dyDescent="0.2">
      <c r="A490" s="3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5.75" hidden="1" customHeight="1" x14ac:dyDescent="0.2">
      <c r="A491" s="3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5.75" hidden="1" customHeight="1" x14ac:dyDescent="0.2">
      <c r="A492" s="3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5.75" hidden="1" customHeight="1" x14ac:dyDescent="0.2">
      <c r="A493" s="3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5.75" hidden="1" customHeight="1" x14ac:dyDescent="0.2">
      <c r="A494" s="3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5.75" hidden="1" customHeight="1" x14ac:dyDescent="0.2">
      <c r="A495" s="3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5.75" hidden="1" customHeight="1" x14ac:dyDescent="0.2">
      <c r="A496" s="3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5.75" hidden="1" customHeight="1" x14ac:dyDescent="0.2">
      <c r="A497" s="3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5.75" hidden="1" customHeight="1" x14ac:dyDescent="0.2">
      <c r="A498" s="3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5.75" hidden="1" customHeight="1" x14ac:dyDescent="0.2">
      <c r="A499" s="3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5.75" hidden="1" customHeight="1" x14ac:dyDescent="0.2">
      <c r="A500" s="3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5.75" hidden="1" customHeight="1" x14ac:dyDescent="0.2">
      <c r="A501" s="3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5.75" hidden="1" customHeight="1" x14ac:dyDescent="0.2">
      <c r="A502" s="3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5.75" hidden="1" customHeight="1" x14ac:dyDescent="0.2">
      <c r="A503" s="3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5.75" hidden="1" customHeight="1" x14ac:dyDescent="0.2">
      <c r="A504" s="3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5.75" hidden="1" customHeight="1" x14ac:dyDescent="0.2">
      <c r="A505" s="3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5.75" hidden="1" customHeight="1" x14ac:dyDescent="0.2">
      <c r="A506" s="3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5.75" hidden="1" customHeight="1" x14ac:dyDescent="0.2">
      <c r="A507" s="3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5.75" hidden="1" customHeight="1" x14ac:dyDescent="0.2">
      <c r="A508" s="3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5.75" hidden="1" customHeight="1" x14ac:dyDescent="0.2">
      <c r="A509" s="3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5.75" hidden="1" customHeight="1" x14ac:dyDescent="0.2">
      <c r="A510" s="3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5.75" hidden="1" customHeight="1" x14ac:dyDescent="0.2">
      <c r="A511" s="3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5.75" hidden="1" customHeight="1" x14ac:dyDescent="0.2">
      <c r="A512" s="3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5.75" hidden="1" customHeight="1" x14ac:dyDescent="0.2">
      <c r="A513" s="3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5.75" hidden="1" customHeight="1" x14ac:dyDescent="0.2">
      <c r="A514" s="3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5.75" hidden="1" customHeight="1" x14ac:dyDescent="0.2">
      <c r="A515" s="3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5.75" hidden="1" customHeight="1" x14ac:dyDescent="0.2">
      <c r="A516" s="3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5.75" hidden="1" customHeight="1" x14ac:dyDescent="0.2">
      <c r="A517" s="3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5.75" hidden="1" customHeight="1" x14ac:dyDescent="0.2">
      <c r="A518" s="3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5.75" hidden="1" customHeight="1" x14ac:dyDescent="0.2">
      <c r="A519" s="3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5.75" hidden="1" customHeight="1" x14ac:dyDescent="0.2">
      <c r="A520" s="3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5.75" hidden="1" customHeight="1" x14ac:dyDescent="0.2">
      <c r="A521" s="3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5.75" hidden="1" customHeight="1" x14ac:dyDescent="0.2">
      <c r="A522" s="3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5.75" hidden="1" customHeight="1" x14ac:dyDescent="0.2">
      <c r="A523" s="3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5.75" hidden="1" customHeight="1" x14ac:dyDescent="0.2">
      <c r="A524" s="3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5.75" hidden="1" customHeight="1" x14ac:dyDescent="0.2">
      <c r="A525" s="3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5.75" hidden="1" customHeight="1" x14ac:dyDescent="0.2">
      <c r="A526" s="3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5.75" hidden="1" customHeight="1" x14ac:dyDescent="0.2">
      <c r="A527" s="3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5.75" hidden="1" customHeight="1" x14ac:dyDescent="0.2">
      <c r="A528" s="3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5.75" hidden="1" customHeight="1" x14ac:dyDescent="0.2">
      <c r="A529" s="3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5.75" hidden="1" customHeight="1" x14ac:dyDescent="0.2">
      <c r="A530" s="3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5.75" hidden="1" customHeight="1" x14ac:dyDescent="0.2">
      <c r="A531" s="3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5.75" hidden="1" customHeight="1" x14ac:dyDescent="0.2">
      <c r="A532" s="3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5.75" hidden="1" customHeight="1" x14ac:dyDescent="0.2">
      <c r="A533" s="3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5.75" hidden="1" customHeight="1" x14ac:dyDescent="0.2">
      <c r="A534" s="3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5.75" hidden="1" customHeight="1" x14ac:dyDescent="0.2">
      <c r="A535" s="3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5.75" hidden="1" customHeight="1" x14ac:dyDescent="0.2">
      <c r="A536" s="3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5.75" hidden="1" customHeight="1" x14ac:dyDescent="0.2">
      <c r="A537" s="3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5.75" hidden="1" customHeight="1" x14ac:dyDescent="0.2">
      <c r="A538" s="3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5.75" hidden="1" customHeight="1" x14ac:dyDescent="0.2">
      <c r="A539" s="3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5.75" hidden="1" customHeight="1" x14ac:dyDescent="0.2">
      <c r="A540" s="3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5.75" hidden="1" customHeight="1" x14ac:dyDescent="0.2">
      <c r="A541" s="3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5.75" hidden="1" customHeight="1" x14ac:dyDescent="0.2">
      <c r="A542" s="3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5.75" hidden="1" customHeight="1" x14ac:dyDescent="0.2">
      <c r="A543" s="3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5.75" hidden="1" customHeight="1" x14ac:dyDescent="0.2">
      <c r="A544" s="3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5.75" hidden="1" customHeight="1" x14ac:dyDescent="0.2">
      <c r="A545" s="3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5.75" hidden="1" customHeight="1" x14ac:dyDescent="0.2">
      <c r="A546" s="3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5.75" hidden="1" customHeight="1" x14ac:dyDescent="0.2">
      <c r="A547" s="3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5.75" hidden="1" customHeight="1" x14ac:dyDescent="0.2">
      <c r="A548" s="3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5.75" hidden="1" customHeight="1" x14ac:dyDescent="0.2">
      <c r="A549" s="3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5.75" hidden="1" customHeight="1" x14ac:dyDescent="0.2">
      <c r="A550" s="3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5.75" hidden="1" customHeight="1" x14ac:dyDescent="0.2">
      <c r="A551" s="3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5.75" hidden="1" customHeight="1" x14ac:dyDescent="0.2">
      <c r="A552" s="3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5.75" hidden="1" customHeight="1" x14ac:dyDescent="0.2">
      <c r="A553" s="3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5.75" hidden="1" customHeight="1" x14ac:dyDescent="0.2">
      <c r="A554" s="3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5.75" hidden="1" customHeight="1" x14ac:dyDescent="0.2">
      <c r="A555" s="3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5.75" hidden="1" customHeight="1" x14ac:dyDescent="0.2">
      <c r="A556" s="3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5.75" hidden="1" customHeight="1" x14ac:dyDescent="0.2">
      <c r="A557" s="3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5.75" hidden="1" customHeight="1" x14ac:dyDescent="0.2">
      <c r="A558" s="3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5.75" hidden="1" customHeight="1" x14ac:dyDescent="0.2">
      <c r="A559" s="3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5.75" hidden="1" customHeight="1" x14ac:dyDescent="0.2">
      <c r="A560" s="3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5.75" hidden="1" customHeight="1" x14ac:dyDescent="0.2">
      <c r="A561" s="3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5.75" hidden="1" customHeight="1" x14ac:dyDescent="0.2">
      <c r="A562" s="3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5.75" hidden="1" customHeight="1" x14ac:dyDescent="0.2">
      <c r="A563" s="3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5.75" hidden="1" customHeight="1" x14ac:dyDescent="0.2">
      <c r="A564" s="3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5.75" hidden="1" customHeight="1" x14ac:dyDescent="0.2">
      <c r="A565" s="3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5.75" hidden="1" customHeight="1" x14ac:dyDescent="0.2">
      <c r="A566" s="3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5.75" hidden="1" customHeight="1" x14ac:dyDescent="0.2">
      <c r="A567" s="3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5.75" hidden="1" customHeight="1" x14ac:dyDescent="0.2">
      <c r="A568" s="3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5.75" hidden="1" customHeight="1" x14ac:dyDescent="0.2">
      <c r="A569" s="3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5.75" hidden="1" customHeight="1" x14ac:dyDescent="0.2">
      <c r="A570" s="3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5.75" hidden="1" customHeight="1" x14ac:dyDescent="0.2">
      <c r="A571" s="3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5.75" hidden="1" customHeight="1" x14ac:dyDescent="0.2">
      <c r="A572" s="3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5.75" hidden="1" customHeight="1" x14ac:dyDescent="0.2">
      <c r="A573" s="3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5.75" hidden="1" customHeight="1" x14ac:dyDescent="0.2">
      <c r="A574" s="3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5.75" hidden="1" customHeight="1" x14ac:dyDescent="0.2">
      <c r="A575" s="3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5.75" hidden="1" customHeight="1" x14ac:dyDescent="0.2">
      <c r="A576" s="3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5.75" hidden="1" customHeight="1" x14ac:dyDescent="0.2">
      <c r="A577" s="3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5.75" hidden="1" customHeight="1" x14ac:dyDescent="0.2">
      <c r="A578" s="3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5.75" hidden="1" customHeight="1" x14ac:dyDescent="0.2">
      <c r="A579" s="3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5.75" hidden="1" customHeight="1" x14ac:dyDescent="0.2">
      <c r="A580" s="3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5.75" hidden="1" customHeight="1" x14ac:dyDescent="0.2">
      <c r="A581" s="3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5.75" hidden="1" customHeight="1" x14ac:dyDescent="0.2">
      <c r="A582" s="3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5.75" hidden="1" customHeight="1" x14ac:dyDescent="0.2">
      <c r="A583" s="3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5.75" hidden="1" customHeight="1" x14ac:dyDescent="0.2">
      <c r="A584" s="3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5.75" hidden="1" customHeight="1" x14ac:dyDescent="0.2">
      <c r="A585" s="3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5.75" hidden="1" customHeight="1" x14ac:dyDescent="0.2">
      <c r="A586" s="3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5.75" hidden="1" customHeight="1" x14ac:dyDescent="0.2">
      <c r="A587" s="3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5.75" hidden="1" customHeight="1" x14ac:dyDescent="0.2">
      <c r="A588" s="3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5.75" hidden="1" customHeight="1" x14ac:dyDescent="0.2">
      <c r="A589" s="3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5.75" hidden="1" customHeight="1" x14ac:dyDescent="0.2">
      <c r="A590" s="3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5.75" hidden="1" customHeight="1" x14ac:dyDescent="0.2">
      <c r="A591" s="3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5.75" hidden="1" customHeight="1" x14ac:dyDescent="0.2">
      <c r="A592" s="3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5.75" hidden="1" customHeight="1" x14ac:dyDescent="0.2">
      <c r="A593" s="3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5.75" hidden="1" customHeight="1" x14ac:dyDescent="0.2">
      <c r="A594" s="3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5.75" hidden="1" customHeight="1" x14ac:dyDescent="0.2">
      <c r="A595" s="3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5.75" hidden="1" customHeight="1" x14ac:dyDescent="0.2">
      <c r="A596" s="3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5.75" hidden="1" customHeight="1" x14ac:dyDescent="0.2">
      <c r="A597" s="3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5.75" hidden="1" customHeight="1" x14ac:dyDescent="0.2">
      <c r="A598" s="3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5.75" hidden="1" customHeight="1" x14ac:dyDescent="0.2">
      <c r="A599" s="3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5.75" hidden="1" customHeight="1" x14ac:dyDescent="0.2">
      <c r="A600" s="3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5.75" hidden="1" customHeight="1" x14ac:dyDescent="0.2">
      <c r="A601" s="3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5.75" hidden="1" customHeight="1" x14ac:dyDescent="0.2">
      <c r="A602" s="3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5.75" hidden="1" customHeight="1" x14ac:dyDescent="0.2">
      <c r="A603" s="3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5.75" hidden="1" customHeight="1" x14ac:dyDescent="0.2">
      <c r="A604" s="3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5.75" hidden="1" customHeight="1" x14ac:dyDescent="0.2">
      <c r="A605" s="3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5.75" hidden="1" customHeight="1" x14ac:dyDescent="0.2">
      <c r="A606" s="3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5.75" hidden="1" customHeight="1" x14ac:dyDescent="0.2">
      <c r="A607" s="3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5.75" hidden="1" customHeight="1" x14ac:dyDescent="0.2">
      <c r="A608" s="3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5.75" hidden="1" customHeight="1" x14ac:dyDescent="0.2">
      <c r="A609" s="3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5.75" hidden="1" customHeight="1" x14ac:dyDescent="0.2">
      <c r="A610" s="3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5.75" hidden="1" customHeight="1" x14ac:dyDescent="0.2">
      <c r="A611" s="3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5.75" hidden="1" customHeight="1" x14ac:dyDescent="0.2">
      <c r="A612" s="3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5.75" hidden="1" customHeight="1" x14ac:dyDescent="0.2">
      <c r="A613" s="3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5.75" hidden="1" customHeight="1" x14ac:dyDescent="0.2">
      <c r="A614" s="3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5.75" hidden="1" customHeight="1" x14ac:dyDescent="0.2">
      <c r="A615" s="3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5.75" hidden="1" customHeight="1" x14ac:dyDescent="0.2">
      <c r="A616" s="3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5.75" hidden="1" customHeight="1" x14ac:dyDescent="0.2">
      <c r="A617" s="3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5.75" hidden="1" customHeight="1" x14ac:dyDescent="0.2">
      <c r="A618" s="3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5.75" hidden="1" customHeight="1" x14ac:dyDescent="0.2">
      <c r="A619" s="3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5.75" hidden="1" customHeight="1" x14ac:dyDescent="0.2">
      <c r="A620" s="3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5.75" hidden="1" customHeight="1" x14ac:dyDescent="0.2">
      <c r="A621" s="3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5.75" hidden="1" customHeight="1" x14ac:dyDescent="0.2">
      <c r="A622" s="3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5.75" hidden="1" customHeight="1" x14ac:dyDescent="0.2">
      <c r="A623" s="3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5.75" hidden="1" customHeight="1" x14ac:dyDescent="0.2">
      <c r="A624" s="3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5.75" hidden="1" customHeight="1" x14ac:dyDescent="0.2">
      <c r="A625" s="3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5.75" hidden="1" customHeight="1" x14ac:dyDescent="0.2">
      <c r="A626" s="3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5.75" hidden="1" customHeight="1" x14ac:dyDescent="0.2">
      <c r="A627" s="3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5.75" hidden="1" customHeight="1" x14ac:dyDescent="0.2">
      <c r="A628" s="3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5.75" hidden="1" customHeight="1" x14ac:dyDescent="0.2">
      <c r="A629" s="3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5.75" hidden="1" customHeight="1" x14ac:dyDescent="0.2">
      <c r="A630" s="3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5.75" hidden="1" customHeight="1" x14ac:dyDescent="0.2">
      <c r="A631" s="3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5.75" hidden="1" customHeight="1" x14ac:dyDescent="0.2">
      <c r="A632" s="3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5.75" hidden="1" customHeight="1" x14ac:dyDescent="0.2">
      <c r="A633" s="3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5.75" hidden="1" customHeight="1" x14ac:dyDescent="0.2">
      <c r="A634" s="3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5.75" hidden="1" customHeight="1" x14ac:dyDescent="0.2">
      <c r="A635" s="3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5.75" hidden="1" customHeight="1" x14ac:dyDescent="0.2">
      <c r="A636" s="3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5.75" hidden="1" customHeight="1" x14ac:dyDescent="0.2">
      <c r="A637" s="3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5.75" hidden="1" customHeight="1" x14ac:dyDescent="0.2">
      <c r="A638" s="3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5.75" hidden="1" customHeight="1" x14ac:dyDescent="0.2">
      <c r="A639" s="3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5.75" hidden="1" customHeight="1" x14ac:dyDescent="0.2">
      <c r="A640" s="3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5.75" hidden="1" customHeight="1" x14ac:dyDescent="0.2">
      <c r="A641" s="3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5.75" hidden="1" customHeight="1" x14ac:dyDescent="0.2">
      <c r="A642" s="3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5.75" hidden="1" customHeight="1" x14ac:dyDescent="0.2">
      <c r="A643" s="3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5.75" hidden="1" customHeight="1" x14ac:dyDescent="0.2">
      <c r="A644" s="3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5.75" hidden="1" customHeight="1" x14ac:dyDescent="0.2">
      <c r="A645" s="3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5.75" hidden="1" customHeight="1" x14ac:dyDescent="0.2">
      <c r="A646" s="3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5.75" hidden="1" customHeight="1" x14ac:dyDescent="0.2">
      <c r="A647" s="3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5.75" hidden="1" customHeight="1" x14ac:dyDescent="0.2">
      <c r="A648" s="3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5.75" hidden="1" customHeight="1" x14ac:dyDescent="0.2">
      <c r="A649" s="3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5.75" hidden="1" customHeight="1" x14ac:dyDescent="0.2">
      <c r="A650" s="3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5.75" hidden="1" customHeight="1" x14ac:dyDescent="0.2">
      <c r="A651" s="3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5.75" hidden="1" customHeight="1" x14ac:dyDescent="0.2">
      <c r="A652" s="3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5.75" hidden="1" customHeight="1" x14ac:dyDescent="0.2">
      <c r="A653" s="3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5.75" hidden="1" customHeight="1" x14ac:dyDescent="0.2">
      <c r="A654" s="3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5.75" hidden="1" customHeight="1" x14ac:dyDescent="0.2">
      <c r="A655" s="3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5.75" hidden="1" customHeight="1" x14ac:dyDescent="0.2">
      <c r="A656" s="3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5.75" hidden="1" customHeight="1" x14ac:dyDescent="0.2">
      <c r="A657" s="3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5.75" hidden="1" customHeight="1" x14ac:dyDescent="0.2">
      <c r="A658" s="3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5.75" hidden="1" customHeight="1" x14ac:dyDescent="0.2">
      <c r="A659" s="3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5.75" hidden="1" customHeight="1" x14ac:dyDescent="0.2">
      <c r="A660" s="3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5.75" hidden="1" customHeight="1" x14ac:dyDescent="0.2">
      <c r="A661" s="3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5.75" hidden="1" customHeight="1" x14ac:dyDescent="0.2">
      <c r="A662" s="3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5.75" hidden="1" customHeight="1" x14ac:dyDescent="0.2">
      <c r="A663" s="3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5.75" hidden="1" customHeight="1" x14ac:dyDescent="0.2">
      <c r="A664" s="3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5.75" hidden="1" customHeight="1" x14ac:dyDescent="0.2">
      <c r="A665" s="3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5.75" hidden="1" customHeight="1" x14ac:dyDescent="0.2">
      <c r="A666" s="3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5.75" hidden="1" customHeight="1" x14ac:dyDescent="0.2">
      <c r="A667" s="3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5.75" hidden="1" customHeight="1" x14ac:dyDescent="0.2">
      <c r="A668" s="3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5.75" hidden="1" customHeight="1" x14ac:dyDescent="0.2">
      <c r="A669" s="3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5.75" hidden="1" customHeight="1" x14ac:dyDescent="0.2">
      <c r="A670" s="3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5.75" hidden="1" customHeight="1" x14ac:dyDescent="0.2">
      <c r="A671" s="3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5.75" hidden="1" customHeight="1" x14ac:dyDescent="0.2">
      <c r="A672" s="3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5.75" hidden="1" customHeight="1" x14ac:dyDescent="0.2">
      <c r="A673" s="3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5.75" hidden="1" customHeight="1" x14ac:dyDescent="0.2">
      <c r="A674" s="3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5.75" hidden="1" customHeight="1" x14ac:dyDescent="0.2">
      <c r="A675" s="3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5.75" hidden="1" customHeight="1" x14ac:dyDescent="0.2">
      <c r="A676" s="3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5.75" hidden="1" customHeight="1" x14ac:dyDescent="0.2">
      <c r="A677" s="3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5.75" hidden="1" customHeight="1" x14ac:dyDescent="0.2">
      <c r="A678" s="3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5.75" hidden="1" customHeight="1" x14ac:dyDescent="0.2">
      <c r="A679" s="3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5.75" hidden="1" customHeight="1" x14ac:dyDescent="0.2">
      <c r="A680" s="3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5.75" hidden="1" customHeight="1" x14ac:dyDescent="0.2">
      <c r="A681" s="3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5.75" hidden="1" customHeight="1" x14ac:dyDescent="0.2">
      <c r="A682" s="3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5.75" hidden="1" customHeight="1" x14ac:dyDescent="0.2">
      <c r="A683" s="3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5.75" hidden="1" customHeight="1" x14ac:dyDescent="0.2">
      <c r="A684" s="3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5.75" hidden="1" customHeight="1" x14ac:dyDescent="0.2">
      <c r="A685" s="3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5.75" hidden="1" customHeight="1" x14ac:dyDescent="0.2">
      <c r="A686" s="3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5.75" hidden="1" customHeight="1" x14ac:dyDescent="0.2">
      <c r="A687" s="3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5.75" hidden="1" customHeight="1" x14ac:dyDescent="0.2">
      <c r="A688" s="3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5.75" hidden="1" customHeight="1" x14ac:dyDescent="0.2">
      <c r="A689" s="3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5.75" hidden="1" customHeight="1" x14ac:dyDescent="0.2">
      <c r="A690" s="3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5.75" hidden="1" customHeight="1" x14ac:dyDescent="0.2">
      <c r="A691" s="3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5.75" hidden="1" customHeight="1" x14ac:dyDescent="0.2">
      <c r="A692" s="3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5.75" hidden="1" customHeight="1" x14ac:dyDescent="0.2">
      <c r="A693" s="3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5.75" hidden="1" customHeight="1" x14ac:dyDescent="0.2">
      <c r="A694" s="3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5.75" hidden="1" customHeight="1" x14ac:dyDescent="0.2">
      <c r="A695" s="3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5.75" hidden="1" customHeight="1" x14ac:dyDescent="0.2">
      <c r="A696" s="3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5.75" hidden="1" customHeight="1" x14ac:dyDescent="0.2">
      <c r="A697" s="3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5.75" hidden="1" customHeight="1" x14ac:dyDescent="0.2">
      <c r="A698" s="3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5.75" hidden="1" customHeight="1" x14ac:dyDescent="0.2">
      <c r="A699" s="3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5.75" hidden="1" customHeight="1" x14ac:dyDescent="0.2">
      <c r="A700" s="3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5.75" hidden="1" customHeight="1" x14ac:dyDescent="0.2">
      <c r="A701" s="3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5.75" hidden="1" customHeight="1" x14ac:dyDescent="0.2">
      <c r="A702" s="3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5.75" hidden="1" customHeight="1" x14ac:dyDescent="0.2">
      <c r="A703" s="3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5.75" hidden="1" customHeight="1" x14ac:dyDescent="0.2">
      <c r="A704" s="3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5.75" hidden="1" customHeight="1" x14ac:dyDescent="0.2">
      <c r="A705" s="3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5.75" hidden="1" customHeight="1" x14ac:dyDescent="0.2">
      <c r="A706" s="3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5.75" hidden="1" customHeight="1" x14ac:dyDescent="0.2">
      <c r="A707" s="3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5.75" hidden="1" customHeight="1" x14ac:dyDescent="0.2">
      <c r="A708" s="3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5.75" hidden="1" customHeight="1" x14ac:dyDescent="0.2">
      <c r="A709" s="3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5.75" hidden="1" customHeight="1" x14ac:dyDescent="0.2">
      <c r="A710" s="3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5.75" hidden="1" customHeight="1" x14ac:dyDescent="0.2">
      <c r="A711" s="3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5.75" hidden="1" customHeight="1" x14ac:dyDescent="0.2">
      <c r="A712" s="3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5.75" hidden="1" customHeight="1" x14ac:dyDescent="0.2">
      <c r="A713" s="3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5.75" hidden="1" customHeight="1" x14ac:dyDescent="0.2">
      <c r="A714" s="3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5.75" hidden="1" customHeight="1" x14ac:dyDescent="0.2">
      <c r="A715" s="3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5.75" hidden="1" customHeight="1" x14ac:dyDescent="0.2">
      <c r="A716" s="3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5.75" hidden="1" customHeight="1" x14ac:dyDescent="0.2">
      <c r="A717" s="3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5.75" hidden="1" customHeight="1" x14ac:dyDescent="0.2">
      <c r="A718" s="3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5.75" hidden="1" customHeight="1" x14ac:dyDescent="0.2">
      <c r="A719" s="3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5.75" hidden="1" customHeight="1" x14ac:dyDescent="0.2">
      <c r="A720" s="3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5.75" hidden="1" customHeight="1" x14ac:dyDescent="0.2">
      <c r="A721" s="3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5.75" hidden="1" customHeight="1" x14ac:dyDescent="0.2">
      <c r="A722" s="3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5.75" hidden="1" customHeight="1" x14ac:dyDescent="0.2">
      <c r="A723" s="3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5.75" hidden="1" customHeight="1" x14ac:dyDescent="0.2">
      <c r="A724" s="3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5.75" hidden="1" customHeight="1" x14ac:dyDescent="0.2">
      <c r="A725" s="3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5.75" hidden="1" customHeight="1" x14ac:dyDescent="0.2">
      <c r="A726" s="3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5.75" hidden="1" customHeight="1" x14ac:dyDescent="0.2">
      <c r="A727" s="3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5.75" hidden="1" customHeight="1" x14ac:dyDescent="0.2">
      <c r="A728" s="3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5.75" hidden="1" customHeight="1" x14ac:dyDescent="0.2">
      <c r="A729" s="3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5.75" hidden="1" customHeight="1" x14ac:dyDescent="0.2">
      <c r="A730" s="3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5.75" hidden="1" customHeight="1" x14ac:dyDescent="0.2">
      <c r="A731" s="3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5.75" hidden="1" customHeight="1" x14ac:dyDescent="0.2">
      <c r="A732" s="3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5.75" hidden="1" customHeight="1" x14ac:dyDescent="0.2">
      <c r="A733" s="3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5.75" hidden="1" customHeight="1" x14ac:dyDescent="0.2">
      <c r="A734" s="3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5.75" hidden="1" customHeight="1" x14ac:dyDescent="0.2">
      <c r="A735" s="3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5.75" hidden="1" customHeight="1" x14ac:dyDescent="0.2">
      <c r="A736" s="3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5.75" hidden="1" customHeight="1" x14ac:dyDescent="0.2">
      <c r="A737" s="3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5.75" hidden="1" customHeight="1" x14ac:dyDescent="0.2">
      <c r="A738" s="3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5.75" hidden="1" customHeight="1" x14ac:dyDescent="0.2">
      <c r="A739" s="3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5.75" hidden="1" customHeight="1" x14ac:dyDescent="0.2">
      <c r="A740" s="3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5.75" hidden="1" customHeight="1" x14ac:dyDescent="0.2">
      <c r="A741" s="3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5.75" hidden="1" customHeight="1" x14ac:dyDescent="0.2">
      <c r="A742" s="3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5.75" hidden="1" customHeight="1" x14ac:dyDescent="0.2">
      <c r="A743" s="3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5.75" hidden="1" customHeight="1" x14ac:dyDescent="0.2">
      <c r="A744" s="3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5.75" hidden="1" customHeight="1" x14ac:dyDescent="0.2">
      <c r="A745" s="3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5.75" hidden="1" customHeight="1" x14ac:dyDescent="0.2">
      <c r="A746" s="3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5.75" hidden="1" customHeight="1" x14ac:dyDescent="0.2">
      <c r="A747" s="3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5.75" hidden="1" customHeight="1" x14ac:dyDescent="0.2">
      <c r="A748" s="3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5.75" hidden="1" customHeight="1" x14ac:dyDescent="0.2">
      <c r="A749" s="3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5.75" hidden="1" customHeight="1" x14ac:dyDescent="0.2">
      <c r="A750" s="3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5.75" hidden="1" customHeight="1" x14ac:dyDescent="0.2">
      <c r="A751" s="3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5.75" hidden="1" customHeight="1" x14ac:dyDescent="0.2">
      <c r="A752" s="3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5.75" hidden="1" customHeight="1" x14ac:dyDescent="0.2">
      <c r="A753" s="3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5.75" hidden="1" customHeight="1" x14ac:dyDescent="0.2">
      <c r="A754" s="3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5.75" hidden="1" customHeight="1" x14ac:dyDescent="0.2">
      <c r="A755" s="3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5.75" hidden="1" customHeight="1" x14ac:dyDescent="0.2">
      <c r="A756" s="3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5.75" hidden="1" customHeight="1" x14ac:dyDescent="0.2">
      <c r="A757" s="3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5.75" hidden="1" customHeight="1" x14ac:dyDescent="0.2">
      <c r="A758" s="3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5.75" hidden="1" customHeight="1" x14ac:dyDescent="0.2">
      <c r="A759" s="3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5.75" hidden="1" customHeight="1" x14ac:dyDescent="0.2">
      <c r="A760" s="3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5.75" hidden="1" customHeight="1" x14ac:dyDescent="0.2">
      <c r="A761" s="3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5.75" hidden="1" customHeight="1" x14ac:dyDescent="0.2">
      <c r="A762" s="3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5.75" hidden="1" customHeight="1" x14ac:dyDescent="0.2">
      <c r="A763" s="3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5.75" hidden="1" customHeight="1" x14ac:dyDescent="0.2">
      <c r="A764" s="3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5.75" hidden="1" customHeight="1" x14ac:dyDescent="0.2">
      <c r="A765" s="3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5.75" hidden="1" customHeight="1" x14ac:dyDescent="0.2">
      <c r="A766" s="3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5.75" hidden="1" customHeight="1" x14ac:dyDescent="0.2">
      <c r="A767" s="3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5.75" hidden="1" customHeight="1" x14ac:dyDescent="0.2">
      <c r="A768" s="3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5.75" hidden="1" customHeight="1" x14ac:dyDescent="0.2">
      <c r="A769" s="3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5.75" hidden="1" customHeight="1" x14ac:dyDescent="0.2">
      <c r="A770" s="3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5.75" hidden="1" customHeight="1" x14ac:dyDescent="0.2">
      <c r="A771" s="3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5.75" hidden="1" customHeight="1" x14ac:dyDescent="0.2">
      <c r="A772" s="3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5.75" hidden="1" customHeight="1" x14ac:dyDescent="0.2">
      <c r="A773" s="3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5.75" hidden="1" customHeight="1" x14ac:dyDescent="0.2">
      <c r="A774" s="3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5.75" hidden="1" customHeight="1" x14ac:dyDescent="0.2">
      <c r="A775" s="3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5.75" hidden="1" customHeight="1" x14ac:dyDescent="0.2">
      <c r="A776" s="3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5.75" hidden="1" customHeight="1" x14ac:dyDescent="0.2">
      <c r="A777" s="3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5.75" hidden="1" customHeight="1" x14ac:dyDescent="0.2">
      <c r="A778" s="3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5.75" hidden="1" customHeight="1" x14ac:dyDescent="0.2">
      <c r="A779" s="3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5.75" hidden="1" customHeight="1" x14ac:dyDescent="0.2">
      <c r="A780" s="3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5.75" hidden="1" customHeight="1" x14ac:dyDescent="0.2">
      <c r="A781" s="3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5.75" hidden="1" customHeight="1" x14ac:dyDescent="0.2">
      <c r="A782" s="3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5.75" hidden="1" customHeight="1" x14ac:dyDescent="0.2">
      <c r="A783" s="3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5.75" hidden="1" customHeight="1" x14ac:dyDescent="0.2">
      <c r="A784" s="3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5.75" hidden="1" customHeight="1" x14ac:dyDescent="0.2">
      <c r="A785" s="3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5.75" hidden="1" customHeight="1" x14ac:dyDescent="0.2">
      <c r="A786" s="3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5.75" hidden="1" customHeight="1" x14ac:dyDescent="0.2">
      <c r="A787" s="3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5.75" hidden="1" customHeight="1" x14ac:dyDescent="0.2">
      <c r="A788" s="3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5.75" hidden="1" customHeight="1" x14ac:dyDescent="0.2">
      <c r="A789" s="3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5.75" hidden="1" customHeight="1" x14ac:dyDescent="0.2">
      <c r="A790" s="3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5.75" hidden="1" customHeight="1" x14ac:dyDescent="0.2">
      <c r="A791" s="3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5.75" hidden="1" customHeight="1" x14ac:dyDescent="0.2">
      <c r="A792" s="3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5.75" hidden="1" customHeight="1" x14ac:dyDescent="0.2">
      <c r="A793" s="3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5.75" hidden="1" customHeight="1" x14ac:dyDescent="0.2">
      <c r="A794" s="3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5.75" hidden="1" customHeight="1" x14ac:dyDescent="0.2">
      <c r="A795" s="3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5.75" hidden="1" customHeight="1" x14ac:dyDescent="0.2">
      <c r="A796" s="3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5.75" hidden="1" customHeight="1" x14ac:dyDescent="0.2">
      <c r="A797" s="3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5.75" hidden="1" customHeight="1" x14ac:dyDescent="0.2">
      <c r="A798" s="3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5.75" hidden="1" customHeight="1" x14ac:dyDescent="0.2">
      <c r="A799" s="3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5.75" hidden="1" customHeight="1" x14ac:dyDescent="0.2">
      <c r="A800" s="3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5.75" hidden="1" customHeight="1" x14ac:dyDescent="0.2">
      <c r="A801" s="3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5.75" hidden="1" customHeight="1" x14ac:dyDescent="0.2">
      <c r="A802" s="3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5.75" hidden="1" customHeight="1" x14ac:dyDescent="0.2">
      <c r="A803" s="3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5.75" hidden="1" customHeight="1" x14ac:dyDescent="0.2">
      <c r="A804" s="3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5.75" hidden="1" customHeight="1" x14ac:dyDescent="0.2">
      <c r="A805" s="3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5.75" hidden="1" customHeight="1" x14ac:dyDescent="0.2">
      <c r="A806" s="3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5.75" hidden="1" customHeight="1" x14ac:dyDescent="0.2">
      <c r="A807" s="3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5.75" hidden="1" customHeight="1" x14ac:dyDescent="0.2">
      <c r="A808" s="3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5.75" hidden="1" customHeight="1" x14ac:dyDescent="0.2">
      <c r="A809" s="3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5.75" hidden="1" customHeight="1" x14ac:dyDescent="0.2">
      <c r="A810" s="3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5.75" hidden="1" customHeight="1" x14ac:dyDescent="0.2">
      <c r="A811" s="3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5.75" hidden="1" customHeight="1" x14ac:dyDescent="0.2">
      <c r="A812" s="3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5.75" hidden="1" customHeight="1" x14ac:dyDescent="0.2">
      <c r="A813" s="3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5.75" hidden="1" customHeight="1" x14ac:dyDescent="0.2">
      <c r="A814" s="3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5.75" hidden="1" customHeight="1" x14ac:dyDescent="0.2">
      <c r="A815" s="3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5.75" hidden="1" customHeight="1" x14ac:dyDescent="0.2">
      <c r="A816" s="3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5.75" hidden="1" customHeight="1" x14ac:dyDescent="0.2">
      <c r="A817" s="3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5.75" hidden="1" customHeight="1" x14ac:dyDescent="0.2">
      <c r="A818" s="3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5.75" hidden="1" customHeight="1" x14ac:dyDescent="0.2">
      <c r="A819" s="3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5.75" hidden="1" customHeight="1" x14ac:dyDescent="0.2">
      <c r="A820" s="3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5.75" hidden="1" customHeight="1" x14ac:dyDescent="0.2">
      <c r="A821" s="3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5.75" hidden="1" customHeight="1" x14ac:dyDescent="0.2">
      <c r="A822" s="3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5.75" hidden="1" customHeight="1" x14ac:dyDescent="0.2">
      <c r="A823" s="3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5.75" hidden="1" customHeight="1" x14ac:dyDescent="0.2">
      <c r="A824" s="3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5.75" hidden="1" customHeight="1" x14ac:dyDescent="0.2">
      <c r="A825" s="3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5.75" hidden="1" customHeight="1" x14ac:dyDescent="0.2">
      <c r="A826" s="3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5.75" hidden="1" customHeight="1" x14ac:dyDescent="0.2">
      <c r="A827" s="3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5.75" hidden="1" customHeight="1" x14ac:dyDescent="0.2">
      <c r="A828" s="3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5.75" hidden="1" customHeight="1" x14ac:dyDescent="0.2">
      <c r="A829" s="3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5.75" hidden="1" customHeight="1" x14ac:dyDescent="0.2">
      <c r="A830" s="3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5.75" hidden="1" customHeight="1" x14ac:dyDescent="0.2">
      <c r="A831" s="3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5.75" hidden="1" customHeight="1" x14ac:dyDescent="0.2">
      <c r="A832" s="3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5.75" hidden="1" customHeight="1" x14ac:dyDescent="0.2">
      <c r="A833" s="3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5.75" hidden="1" customHeight="1" x14ac:dyDescent="0.2">
      <c r="A834" s="3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ht="15.75" hidden="1" customHeight="1" x14ac:dyDescent="0.2">
      <c r="A835" s="3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ht="15.75" hidden="1" customHeight="1" x14ac:dyDescent="0.2">
      <c r="A836" s="3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ht="15.75" hidden="1" customHeight="1" x14ac:dyDescent="0.2">
      <c r="A837" s="3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ht="15.75" hidden="1" customHeight="1" x14ac:dyDescent="0.2">
      <c r="A838" s="3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ht="15.75" hidden="1" customHeight="1" x14ac:dyDescent="0.2">
      <c r="A839" s="3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ht="15.75" hidden="1" customHeight="1" x14ac:dyDescent="0.2">
      <c r="A840" s="3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ht="15.75" hidden="1" customHeight="1" x14ac:dyDescent="0.2">
      <c r="A841" s="3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ht="15.75" hidden="1" customHeight="1" x14ac:dyDescent="0.2">
      <c r="A842" s="3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ht="15.75" hidden="1" customHeight="1" x14ac:dyDescent="0.2">
      <c r="A843" s="3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ht="15.75" hidden="1" customHeight="1" x14ac:dyDescent="0.2">
      <c r="A844" s="3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ht="15.75" hidden="1" customHeight="1" x14ac:dyDescent="0.2">
      <c r="A845" s="3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ht="15.75" hidden="1" customHeight="1" x14ac:dyDescent="0.2">
      <c r="A846" s="3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ht="15.75" hidden="1" customHeight="1" x14ac:dyDescent="0.2">
      <c r="A847" s="3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ht="15.75" hidden="1" customHeight="1" x14ac:dyDescent="0.2">
      <c r="A848" s="3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ht="15.75" hidden="1" customHeight="1" x14ac:dyDescent="0.2">
      <c r="A849" s="3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ht="15.75" hidden="1" customHeight="1" x14ac:dyDescent="0.2">
      <c r="A850" s="3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ht="15.75" hidden="1" customHeight="1" x14ac:dyDescent="0.2">
      <c r="A851" s="3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ht="15.75" hidden="1" customHeight="1" x14ac:dyDescent="0.2">
      <c r="A852" s="3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ht="15.75" hidden="1" customHeight="1" x14ac:dyDescent="0.2">
      <c r="A853" s="3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ht="15.75" hidden="1" customHeight="1" x14ac:dyDescent="0.2">
      <c r="A854" s="3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ht="15.75" hidden="1" customHeight="1" x14ac:dyDescent="0.2">
      <c r="A855" s="3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ht="15.75" hidden="1" customHeight="1" x14ac:dyDescent="0.2">
      <c r="A856" s="3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ht="15.75" hidden="1" customHeight="1" x14ac:dyDescent="0.2">
      <c r="A857" s="3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ht="15.75" hidden="1" customHeight="1" x14ac:dyDescent="0.2">
      <c r="A858" s="3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ht="15.75" hidden="1" customHeight="1" x14ac:dyDescent="0.2">
      <c r="A859" s="3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ht="15.75" hidden="1" customHeight="1" x14ac:dyDescent="0.2">
      <c r="A860" s="3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ht="15.75" hidden="1" customHeight="1" x14ac:dyDescent="0.2">
      <c r="A861" s="3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ht="15.75" hidden="1" customHeight="1" x14ac:dyDescent="0.2">
      <c r="A862" s="3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ht="15.75" hidden="1" customHeight="1" x14ac:dyDescent="0.2">
      <c r="A863" s="3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ht="15.75" hidden="1" customHeight="1" x14ac:dyDescent="0.2">
      <c r="A864" s="3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ht="15.75" hidden="1" customHeight="1" x14ac:dyDescent="0.2">
      <c r="A865" s="3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ht="15.75" hidden="1" customHeight="1" x14ac:dyDescent="0.2">
      <c r="A866" s="3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ht="15.75" hidden="1" customHeight="1" x14ac:dyDescent="0.2">
      <c r="A867" s="3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ht="15.75" hidden="1" customHeight="1" x14ac:dyDescent="0.2">
      <c r="A868" s="3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ht="15.75" hidden="1" customHeight="1" x14ac:dyDescent="0.2">
      <c r="A869" s="3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ht="15.75" hidden="1" customHeight="1" x14ac:dyDescent="0.2">
      <c r="A870" s="3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ht="15.75" hidden="1" customHeight="1" x14ac:dyDescent="0.2">
      <c r="A871" s="3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ht="15.75" hidden="1" customHeight="1" x14ac:dyDescent="0.2">
      <c r="A872" s="3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ht="15.75" hidden="1" customHeight="1" x14ac:dyDescent="0.2">
      <c r="A873" s="3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ht="15.75" hidden="1" customHeight="1" x14ac:dyDescent="0.2">
      <c r="A874" s="3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ht="15.75" hidden="1" customHeight="1" x14ac:dyDescent="0.2">
      <c r="A875" s="3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ht="15.75" hidden="1" customHeight="1" x14ac:dyDescent="0.2">
      <c r="A876" s="3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ht="15.75" hidden="1" customHeight="1" x14ac:dyDescent="0.2">
      <c r="A877" s="3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ht="15.75" hidden="1" customHeight="1" x14ac:dyDescent="0.2">
      <c r="A878" s="3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ht="15.75" hidden="1" customHeight="1" x14ac:dyDescent="0.2">
      <c r="A879" s="3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ht="15.75" hidden="1" customHeight="1" x14ac:dyDescent="0.2">
      <c r="A880" s="3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ht="15.75" hidden="1" customHeight="1" x14ac:dyDescent="0.2">
      <c r="A881" s="3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ht="15.75" hidden="1" customHeight="1" x14ac:dyDescent="0.2">
      <c r="A882" s="3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ht="15.75" hidden="1" customHeight="1" x14ac:dyDescent="0.2">
      <c r="A883" s="3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ht="15.75" hidden="1" customHeight="1" x14ac:dyDescent="0.2">
      <c r="A884" s="3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ht="15.75" hidden="1" customHeight="1" x14ac:dyDescent="0.2">
      <c r="A885" s="3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ht="15.75" hidden="1" customHeight="1" x14ac:dyDescent="0.2">
      <c r="A886" s="3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ht="15.75" hidden="1" customHeight="1" x14ac:dyDescent="0.2">
      <c r="A887" s="3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ht="15.75" hidden="1" customHeight="1" x14ac:dyDescent="0.2">
      <c r="A888" s="3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ht="15.75" hidden="1" customHeight="1" x14ac:dyDescent="0.2">
      <c r="A889" s="3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ht="15.75" hidden="1" customHeight="1" x14ac:dyDescent="0.2">
      <c r="A890" s="3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ht="15.75" hidden="1" customHeight="1" x14ac:dyDescent="0.2">
      <c r="A891" s="3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ht="15.75" hidden="1" customHeight="1" x14ac:dyDescent="0.2">
      <c r="A892" s="3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ht="15.75" hidden="1" customHeight="1" x14ac:dyDescent="0.2">
      <c r="A893" s="3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ht="15.75" hidden="1" customHeight="1" x14ac:dyDescent="0.2">
      <c r="A894" s="3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ht="15.75" hidden="1" customHeight="1" x14ac:dyDescent="0.2">
      <c r="A895" s="3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ht="15.75" hidden="1" customHeight="1" x14ac:dyDescent="0.2">
      <c r="A896" s="3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ht="15.75" hidden="1" customHeight="1" x14ac:dyDescent="0.2">
      <c r="A897" s="3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ht="15.75" hidden="1" customHeight="1" x14ac:dyDescent="0.2">
      <c r="A898" s="3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ht="15.75" hidden="1" customHeight="1" x14ac:dyDescent="0.2">
      <c r="A899" s="3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ht="15.75" hidden="1" customHeight="1" x14ac:dyDescent="0.2">
      <c r="A900" s="3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ht="15.75" hidden="1" customHeight="1" x14ac:dyDescent="0.2">
      <c r="A901" s="3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ht="15.75" hidden="1" customHeight="1" x14ac:dyDescent="0.2">
      <c r="A902" s="3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ht="15.75" hidden="1" customHeight="1" x14ac:dyDescent="0.2">
      <c r="A903" s="3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ht="15.75" hidden="1" customHeight="1" x14ac:dyDescent="0.2">
      <c r="A904" s="3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ht="15.75" hidden="1" customHeight="1" x14ac:dyDescent="0.2">
      <c r="A905" s="3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ht="15.75" hidden="1" customHeight="1" x14ac:dyDescent="0.2">
      <c r="A906" s="3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ht="15.75" hidden="1" customHeight="1" x14ac:dyDescent="0.2">
      <c r="A907" s="3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ht="15.75" hidden="1" customHeight="1" x14ac:dyDescent="0.2">
      <c r="A908" s="3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ht="15.75" hidden="1" customHeight="1" x14ac:dyDescent="0.2">
      <c r="A909" s="3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ht="15.75" hidden="1" customHeight="1" x14ac:dyDescent="0.2">
      <c r="A910" s="3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ht="15.75" hidden="1" customHeight="1" x14ac:dyDescent="0.2">
      <c r="A911" s="3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ht="15.75" hidden="1" customHeight="1" x14ac:dyDescent="0.2">
      <c r="A912" s="3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ht="15.75" hidden="1" customHeight="1" x14ac:dyDescent="0.2">
      <c r="A913" s="3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ht="15.75" hidden="1" customHeight="1" x14ac:dyDescent="0.2">
      <c r="A914" s="3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ht="15.75" hidden="1" customHeight="1" x14ac:dyDescent="0.2">
      <c r="A915" s="3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ht="15.75" hidden="1" customHeight="1" x14ac:dyDescent="0.2">
      <c r="A916" s="3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ht="15.75" hidden="1" customHeight="1" x14ac:dyDescent="0.2">
      <c r="A917" s="3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ht="15.75" hidden="1" customHeight="1" x14ac:dyDescent="0.2">
      <c r="A918" s="3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ht="15.75" hidden="1" customHeight="1" x14ac:dyDescent="0.2">
      <c r="A919" s="3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ht="15.75" hidden="1" customHeight="1" x14ac:dyDescent="0.2">
      <c r="A920" s="3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ht="15.75" hidden="1" customHeight="1" x14ac:dyDescent="0.2">
      <c r="A921" s="3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ht="15.75" hidden="1" customHeight="1" x14ac:dyDescent="0.2">
      <c r="A922" s="3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ht="15.75" hidden="1" customHeight="1" x14ac:dyDescent="0.2">
      <c r="A923" s="3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ht="15.75" hidden="1" customHeight="1" x14ac:dyDescent="0.2">
      <c r="A924" s="3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ht="15.75" hidden="1" customHeight="1" x14ac:dyDescent="0.2">
      <c r="A925" s="3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ht="15.75" hidden="1" customHeight="1" x14ac:dyDescent="0.2">
      <c r="A926" s="3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ht="15.75" hidden="1" customHeight="1" x14ac:dyDescent="0.2">
      <c r="A927" s="3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ht="15.75" hidden="1" customHeight="1" x14ac:dyDescent="0.2">
      <c r="A928" s="3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ht="15.75" hidden="1" customHeight="1" x14ac:dyDescent="0.2">
      <c r="A929" s="3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ht="15.75" hidden="1" customHeight="1" x14ac:dyDescent="0.2">
      <c r="A930" s="3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ht="15.75" hidden="1" customHeight="1" x14ac:dyDescent="0.2">
      <c r="A931" s="3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ht="15.75" hidden="1" customHeight="1" x14ac:dyDescent="0.2">
      <c r="A932" s="3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ht="15.75" hidden="1" customHeight="1" x14ac:dyDescent="0.2">
      <c r="A933" s="3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ht="15.75" hidden="1" customHeight="1" x14ac:dyDescent="0.2">
      <c r="A934" s="3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ht="15.75" hidden="1" customHeight="1" x14ac:dyDescent="0.2">
      <c r="A935" s="3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ht="15.75" hidden="1" customHeight="1" x14ac:dyDescent="0.2">
      <c r="A936" s="3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ht="15.75" hidden="1" customHeight="1" x14ac:dyDescent="0.2">
      <c r="A937" s="3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ht="15.75" hidden="1" customHeight="1" x14ac:dyDescent="0.2">
      <c r="A938" s="3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ht="15.75" hidden="1" customHeight="1" x14ac:dyDescent="0.2">
      <c r="A939" s="3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ht="15.75" hidden="1" customHeight="1" x14ac:dyDescent="0.2">
      <c r="A940" s="3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ht="15.75" hidden="1" customHeight="1" x14ac:dyDescent="0.2">
      <c r="A941" s="3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ht="15.75" hidden="1" customHeight="1" x14ac:dyDescent="0.2">
      <c r="A942" s="3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ht="15.75" hidden="1" customHeight="1" x14ac:dyDescent="0.2">
      <c r="A943" s="3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ht="15.75" hidden="1" customHeight="1" x14ac:dyDescent="0.2">
      <c r="A944" s="3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ht="15.75" hidden="1" customHeight="1" x14ac:dyDescent="0.2">
      <c r="A945" s="3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ht="15.75" hidden="1" customHeight="1" x14ac:dyDescent="0.2">
      <c r="A946" s="3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ht="15.75" hidden="1" customHeight="1" x14ac:dyDescent="0.2">
      <c r="A947" s="3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ht="15.75" hidden="1" customHeight="1" x14ac:dyDescent="0.2">
      <c r="A948" s="3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ht="15.75" hidden="1" customHeight="1" x14ac:dyDescent="0.2">
      <c r="A949" s="3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ht="15.75" hidden="1" customHeight="1" x14ac:dyDescent="0.2">
      <c r="A950" s="3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ht="15.75" hidden="1" customHeight="1" x14ac:dyDescent="0.2">
      <c r="A951" s="3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ht="15.75" hidden="1" customHeight="1" x14ac:dyDescent="0.2">
      <c r="A952" s="3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ht="15.75" hidden="1" customHeight="1" x14ac:dyDescent="0.2">
      <c r="A953" s="3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ht="15.75" hidden="1" customHeight="1" x14ac:dyDescent="0.2">
      <c r="A954" s="3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ht="15.75" hidden="1" customHeight="1" x14ac:dyDescent="0.2">
      <c r="A955" s="3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ht="15.75" hidden="1" customHeight="1" x14ac:dyDescent="0.2">
      <c r="A956" s="3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ht="15.75" hidden="1" customHeight="1" x14ac:dyDescent="0.2">
      <c r="A957" s="3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ht="15.75" hidden="1" customHeight="1" x14ac:dyDescent="0.2">
      <c r="A958" s="3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ht="15.75" hidden="1" customHeight="1" x14ac:dyDescent="0.2">
      <c r="A959" s="3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ht="15.75" hidden="1" customHeight="1" x14ac:dyDescent="0.2">
      <c r="A960" s="3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ht="15.75" hidden="1" customHeight="1" x14ac:dyDescent="0.2">
      <c r="A961" s="3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ht="15.75" hidden="1" customHeight="1" x14ac:dyDescent="0.2">
      <c r="A962" s="3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ht="15.75" hidden="1" customHeight="1" x14ac:dyDescent="0.2">
      <c r="A963" s="3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ht="15.75" hidden="1" customHeight="1" x14ac:dyDescent="0.2">
      <c r="A964" s="3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ht="15.75" hidden="1" customHeight="1" x14ac:dyDescent="0.2">
      <c r="A965" s="3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ht="15.75" hidden="1" customHeight="1" x14ac:dyDescent="0.2">
      <c r="A966" s="3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ht="15.75" hidden="1" customHeight="1" x14ac:dyDescent="0.2">
      <c r="A967" s="3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ht="15.75" hidden="1" customHeight="1" x14ac:dyDescent="0.2">
      <c r="A968" s="3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ht="15.75" hidden="1" customHeight="1" x14ac:dyDescent="0.2">
      <c r="A969" s="3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ht="15.75" hidden="1" customHeight="1" x14ac:dyDescent="0.2">
      <c r="A970" s="3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ht="15.75" hidden="1" customHeight="1" x14ac:dyDescent="0.2">
      <c r="A971" s="3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ht="15.75" hidden="1" customHeight="1" x14ac:dyDescent="0.2">
      <c r="A972" s="3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ht="15.75" hidden="1" customHeight="1" x14ac:dyDescent="0.2">
      <c r="A973" s="3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ht="15.75" hidden="1" customHeight="1" x14ac:dyDescent="0.2">
      <c r="A974" s="3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ht="15.75" hidden="1" customHeight="1" x14ac:dyDescent="0.2">
      <c r="A975" s="3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ht="15.75" hidden="1" customHeight="1" x14ac:dyDescent="0.2">
      <c r="A976" s="3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ht="15.75" hidden="1" customHeight="1" x14ac:dyDescent="0.2">
      <c r="A977" s="3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ht="15.75" hidden="1" customHeight="1" x14ac:dyDescent="0.2">
      <c r="A978" s="3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ht="15.75" hidden="1" customHeight="1" x14ac:dyDescent="0.2">
      <c r="A979" s="3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ht="15.75" hidden="1" customHeight="1" x14ac:dyDescent="0.2">
      <c r="A980" s="3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ht="15.75" hidden="1" customHeight="1" x14ac:dyDescent="0.2">
      <c r="A981" s="3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ht="15.75" hidden="1" customHeight="1" x14ac:dyDescent="0.2">
      <c r="A982" s="3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ht="15.75" hidden="1" customHeight="1" x14ac:dyDescent="0.2">
      <c r="A983" s="3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ht="15.75" hidden="1" customHeight="1" x14ac:dyDescent="0.2">
      <c r="A984" s="3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ht="15.75" hidden="1" customHeight="1" x14ac:dyDescent="0.2">
      <c r="A985" s="3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ht="15.75" hidden="1" customHeight="1" x14ac:dyDescent="0.2">
      <c r="A986" s="3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ht="15.75" hidden="1" customHeight="1" x14ac:dyDescent="0.2">
      <c r="A987" s="3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ht="15.75" hidden="1" customHeight="1" x14ac:dyDescent="0.2">
      <c r="A988" s="3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ht="15.75" hidden="1" customHeight="1" x14ac:dyDescent="0.2">
      <c r="A989" s="3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ht="15.75" hidden="1" customHeight="1" x14ac:dyDescent="0.2">
      <c r="A990" s="3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ht="15.75" hidden="1" customHeight="1" x14ac:dyDescent="0.2">
      <c r="A991" s="3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ht="15.75" hidden="1" customHeight="1" x14ac:dyDescent="0.2">
      <c r="A992" s="3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ht="15.75" hidden="1" customHeight="1" x14ac:dyDescent="0.2">
      <c r="A993" s="3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ht="15.75" hidden="1" customHeight="1" x14ac:dyDescent="0.2">
      <c r="A994" s="3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ht="15.75" hidden="1" customHeight="1" x14ac:dyDescent="0.2">
      <c r="A995" s="3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ht="15.75" hidden="1" customHeight="1" x14ac:dyDescent="0.2">
      <c r="A996" s="3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ht="15.75" hidden="1" customHeight="1" x14ac:dyDescent="0.2">
      <c r="A997" s="3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ht="15.75" hidden="1" customHeight="1" x14ac:dyDescent="0.2">
      <c r="A998" s="3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ht="15.75" hidden="1" customHeight="1" x14ac:dyDescent="0.2">
      <c r="A999" s="3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ht="15.75" hidden="1" customHeight="1" x14ac:dyDescent="0.2">
      <c r="A1000" s="3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ht="15.75" hidden="1" customHeight="1" x14ac:dyDescent="0.2">
      <c r="A1001" s="3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</sheetData>
  <mergeCells count="2">
    <mergeCell ref="A1:C1"/>
    <mergeCell ref="P50:P52"/>
  </mergeCells>
  <conditionalFormatting sqref="C52:O52 C50:O50">
    <cfRule type="expression" dxfId="0" priority="1">
      <formula>MOD(ROW(),2)=0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72</vt:i4>
      </vt:variant>
    </vt:vector>
  </HeadingPairs>
  <TitlesOfParts>
    <vt:vector size="85" baseType="lpstr">
      <vt:lpstr>Orientações</vt:lpstr>
      <vt:lpstr>Auxiliar</vt:lpstr>
      <vt:lpstr>Nota Khan</vt:lpstr>
      <vt:lpstr>NE</vt:lpstr>
      <vt:lpstr>Turma</vt:lpstr>
      <vt:lpstr>Turma (2)</vt:lpstr>
      <vt:lpstr>Turma (3)</vt:lpstr>
      <vt:lpstr>Turma (4)</vt:lpstr>
      <vt:lpstr>Turma (5)</vt:lpstr>
      <vt:lpstr>Turma (6)</vt:lpstr>
      <vt:lpstr>Turma (7)</vt:lpstr>
      <vt:lpstr>Turma (8)</vt:lpstr>
      <vt:lpstr>Turma (9)</vt:lpstr>
      <vt:lpstr>'Turma (2)'!NomeKhan</vt:lpstr>
      <vt:lpstr>'Turma (3)'!NomeKhan</vt:lpstr>
      <vt:lpstr>'Turma (4)'!NomeKhan</vt:lpstr>
      <vt:lpstr>'Turma (5)'!NomeKhan</vt:lpstr>
      <vt:lpstr>'Turma (6)'!NomeKhan</vt:lpstr>
      <vt:lpstr>'Turma (7)'!NomeKhan</vt:lpstr>
      <vt:lpstr>'Turma (8)'!NomeKhan</vt:lpstr>
      <vt:lpstr>'Turma (9)'!NomeKhan</vt:lpstr>
      <vt:lpstr>NomeKhan</vt:lpstr>
      <vt:lpstr>'Turma (2)'!NomeSistema</vt:lpstr>
      <vt:lpstr>'Turma (3)'!NomeSistema</vt:lpstr>
      <vt:lpstr>'Turma (4)'!NomeSistema</vt:lpstr>
      <vt:lpstr>'Turma (5)'!NomeSistema</vt:lpstr>
      <vt:lpstr>'Turma (6)'!NomeSistema</vt:lpstr>
      <vt:lpstr>'Turma (7)'!NomeSistema</vt:lpstr>
      <vt:lpstr>'Turma (8)'!NomeSistema</vt:lpstr>
      <vt:lpstr>'Turma (9)'!NomeSistema</vt:lpstr>
      <vt:lpstr>NomeSistema</vt:lpstr>
      <vt:lpstr>'Turma (2)'!Notas</vt:lpstr>
      <vt:lpstr>'Turma (3)'!Notas</vt:lpstr>
      <vt:lpstr>'Turma (4)'!Notas</vt:lpstr>
      <vt:lpstr>'Turma (5)'!Notas</vt:lpstr>
      <vt:lpstr>'Turma (6)'!Notas</vt:lpstr>
      <vt:lpstr>'Turma (7)'!Notas</vt:lpstr>
      <vt:lpstr>'Turma (8)'!Notas</vt:lpstr>
      <vt:lpstr>'Turma (9)'!Notas</vt:lpstr>
      <vt:lpstr>Notas</vt:lpstr>
      <vt:lpstr>'Turma (2)'!Percents</vt:lpstr>
      <vt:lpstr>'Turma (3)'!Percents</vt:lpstr>
      <vt:lpstr>'Turma (4)'!Percents</vt:lpstr>
      <vt:lpstr>'Turma (5)'!Percents</vt:lpstr>
      <vt:lpstr>'Turma (6)'!Percents</vt:lpstr>
      <vt:lpstr>'Turma (7)'!Percents</vt:lpstr>
      <vt:lpstr>'Turma (8)'!Percents</vt:lpstr>
      <vt:lpstr>'Turma (9)'!Percents</vt:lpstr>
      <vt:lpstr>Percents</vt:lpstr>
      <vt:lpstr>'Turma (2)'!RA</vt:lpstr>
      <vt:lpstr>'Turma (3)'!RA</vt:lpstr>
      <vt:lpstr>'Turma (4)'!RA</vt:lpstr>
      <vt:lpstr>'Turma (5)'!RA</vt:lpstr>
      <vt:lpstr>'Turma (6)'!RA</vt:lpstr>
      <vt:lpstr>'Turma (7)'!RA</vt:lpstr>
      <vt:lpstr>'Turma (8)'!RA</vt:lpstr>
      <vt:lpstr>'Turma (9)'!RA</vt:lpstr>
      <vt:lpstr>RA</vt:lpstr>
      <vt:lpstr>'Turma (2)'!RegAluno</vt:lpstr>
      <vt:lpstr>'Turma (3)'!RegAluno</vt:lpstr>
      <vt:lpstr>'Turma (4)'!RegAluno</vt:lpstr>
      <vt:lpstr>'Turma (5)'!RegAluno</vt:lpstr>
      <vt:lpstr>'Turma (6)'!RegAluno</vt:lpstr>
      <vt:lpstr>'Turma (7)'!RegAluno</vt:lpstr>
      <vt:lpstr>'Turma (8)'!RegAluno</vt:lpstr>
      <vt:lpstr>'Turma (9)'!RegAluno</vt:lpstr>
      <vt:lpstr>RegAluno</vt:lpstr>
      <vt:lpstr>'Turma (2)'!SomaNotas</vt:lpstr>
      <vt:lpstr>'Turma (3)'!SomaNotas</vt:lpstr>
      <vt:lpstr>'Turma (4)'!SomaNotas</vt:lpstr>
      <vt:lpstr>'Turma (5)'!SomaNotas</vt:lpstr>
      <vt:lpstr>'Turma (6)'!SomaNotas</vt:lpstr>
      <vt:lpstr>'Turma (7)'!SomaNotas</vt:lpstr>
      <vt:lpstr>'Turma (8)'!SomaNotas</vt:lpstr>
      <vt:lpstr>'Turma (9)'!SomaNotas</vt:lpstr>
      <vt:lpstr>SomaNotas</vt:lpstr>
      <vt:lpstr>'Turma (2)'!Totais</vt:lpstr>
      <vt:lpstr>'Turma (3)'!Totais</vt:lpstr>
      <vt:lpstr>'Turma (4)'!Totais</vt:lpstr>
      <vt:lpstr>'Turma (5)'!Totais</vt:lpstr>
      <vt:lpstr>'Turma (6)'!Totais</vt:lpstr>
      <vt:lpstr>'Turma (7)'!Totais</vt:lpstr>
      <vt:lpstr>'Turma (8)'!Totais</vt:lpstr>
      <vt:lpstr>'Turma (9)'!Totais</vt:lpstr>
      <vt:lpstr>Totais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</dc:creator>
  <cp:keywords/>
  <dc:description/>
  <cp:lastModifiedBy>Fernanda Lopes</cp:lastModifiedBy>
  <cp:revision/>
  <dcterms:created xsi:type="dcterms:W3CDTF">2020-06-02T13:11:42Z</dcterms:created>
  <dcterms:modified xsi:type="dcterms:W3CDTF">2022-08-15T03:17:53Z</dcterms:modified>
  <cp:category/>
  <cp:contentStatus/>
</cp:coreProperties>
</file>